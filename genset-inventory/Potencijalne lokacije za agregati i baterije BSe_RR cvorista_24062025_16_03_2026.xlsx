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https://bhtelecomsa-my.sharepoint.com/personal/rusmirs_bhtelecom_ba/Documents/AGREGATI DOCS/"/>
    </mc:Choice>
  </mc:AlternateContent>
  <xr:revisionPtr revIDLastSave="108" documentId="8_{176DC970-3120-4645-8731-6E75A01343E6}" xr6:coauthVersionLast="47" xr6:coauthVersionMax="47" xr10:uidLastSave="{B4403DD8-D3E8-4760-9DEC-EC804CA12E1C}"/>
  <bookViews>
    <workbookView xWindow="0" yWindow="0" windowWidth="28800" windowHeight="11625" xr2:uid="{00000000-000D-0000-FFFF-FFFF00000000}"/>
  </bookViews>
  <sheets>
    <sheet name="Agregati BS RR i MPLS" sheetId="3" r:id="rId1"/>
    <sheet name="RR i MPLS cvorista" sheetId="4" r:id="rId2"/>
  </sheets>
  <definedNames>
    <definedName name="_xlnm._FilterDatabase" localSheetId="0" hidden="1">'Agregati BS RR i MPLS'!$A$1:$U$112</definedName>
    <definedName name="_xlnm._FilterDatabase" localSheetId="1" hidden="1">'RR i MPLS cvorista'!$C$1:$C$52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4" l="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28" i="4"/>
  <c r="B29" i="4" s="1"/>
  <c r="B30" i="4" s="1"/>
  <c r="B31" i="4" s="1"/>
  <c r="B32" i="4" s="1"/>
  <c r="B3" i="4"/>
  <c r="B4" i="4" s="1"/>
  <c r="B5" i="4" s="1"/>
  <c r="B6" i="4" s="1"/>
  <c r="B7" i="4" s="1"/>
  <c r="B8" i="4" s="1"/>
  <c r="B9" i="4" s="1"/>
  <c r="B10" i="4" s="1"/>
  <c r="B11" i="4" s="1"/>
  <c r="B12" i="4" s="1"/>
  <c r="B13" i="4" s="1"/>
  <c r="B14" i="4" s="1"/>
  <c r="B15" i="4" s="1"/>
  <c r="B16" i="4" s="1"/>
  <c r="B17" i="4" s="1"/>
  <c r="B18" i="4" s="1"/>
  <c r="B19" i="4" s="1"/>
  <c r="B20" i="4" s="1"/>
  <c r="B21" i="4" s="1"/>
  <c r="B2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Rusmir Skopljak</author>
  </authors>
  <commentList>
    <comment ref="F42" authorId="0" shapeId="0" xr:uid="{53C12AB9-5E40-4E9A-8EB7-8797120BA826}">
      <text>
        <r>
          <rPr>
            <b/>
            <sz val="9"/>
            <color indexed="81"/>
            <rFont val="Tahoma"/>
            <family val="2"/>
            <charset val="238"/>
          </rPr>
          <t>Rusmir Skopljak:</t>
        </r>
        <r>
          <rPr>
            <sz val="9"/>
            <color indexed="81"/>
            <rFont val="Tahoma"/>
            <family val="2"/>
            <charset val="238"/>
          </rPr>
          <t xml:space="preserve">
POTOCI BH POSTA - unutrasnje posluživanje</t>
        </r>
      </text>
    </comment>
  </commentList>
</comments>
</file>

<file path=xl/sharedStrings.xml><?xml version="1.0" encoding="utf-8"?>
<sst xmlns="http://schemas.openxmlformats.org/spreadsheetml/2006/main" count="1826" uniqueCount="557">
  <si>
    <t>Direkcija</t>
  </si>
  <si>
    <t>Entitet</t>
  </si>
  <si>
    <t>Opcina</t>
  </si>
  <si>
    <t>Status</t>
  </si>
  <si>
    <t>Prisutne veze</t>
  </si>
  <si>
    <t>Naziv lokacije</t>
  </si>
  <si>
    <t>Total Traffic (GB)</t>
  </si>
  <si>
    <t>Od posebnog značaja</t>
  </si>
  <si>
    <t>Trajanje BB (min)</t>
  </si>
  <si>
    <t>Tip objekta</t>
  </si>
  <si>
    <t>Zadovoljava</t>
  </si>
  <si>
    <t>Ima li agregat?</t>
  </si>
  <si>
    <t>STATUS REALIZACIJE</t>
  </si>
  <si>
    <t>Zemljište m x m</t>
  </si>
  <si>
    <t>Komentar</t>
  </si>
  <si>
    <t>Komentar RAN</t>
  </si>
  <si>
    <t>Napomena/Poduzete mjere</t>
  </si>
  <si>
    <t>Napomena Prioritet</t>
  </si>
  <si>
    <t>Ima li fizički prostor za montažu agregata</t>
  </si>
  <si>
    <t>Treba li građ. dozvola</t>
  </si>
  <si>
    <t>RAN-RR-PRENOS-OSP</t>
  </si>
  <si>
    <t>Ograda</t>
  </si>
  <si>
    <t>Dostupno</t>
  </si>
  <si>
    <t>Mostar</t>
  </si>
  <si>
    <t>FBiH</t>
  </si>
  <si>
    <t>Neum</t>
  </si>
  <si>
    <t>Aktivna</t>
  </si>
  <si>
    <t>RAN-RR-PRENOS</t>
  </si>
  <si>
    <t>NEUM</t>
  </si>
  <si>
    <t>DA</t>
  </si>
  <si>
    <t>Kontejner</t>
  </si>
  <si>
    <t>NE</t>
  </si>
  <si>
    <t>PLANIRANO 2026-2027</t>
  </si>
  <si>
    <t>n/a</t>
  </si>
  <si>
    <t xml:space="preserve">Site sharing sa Eronetom. </t>
  </si>
  <si>
    <t>Prioritet za agregat 1</t>
  </si>
  <si>
    <t>DA, pokretni agregat na točkovima</t>
  </si>
  <si>
    <t>Tuzla</t>
  </si>
  <si>
    <t>Banovici</t>
  </si>
  <si>
    <t>RAN-RR</t>
  </si>
  <si>
    <t>BANOVICI_SELO</t>
  </si>
  <si>
    <t>10x10</t>
  </si>
  <si>
    <t>Bihać</t>
  </si>
  <si>
    <t>Velika Kladusa</t>
  </si>
  <si>
    <t>VELIKA_KLADUSA</t>
  </si>
  <si>
    <t>nema</t>
  </si>
  <si>
    <r>
      <rPr>
        <sz val="11"/>
        <color rgb="FFFF0000"/>
        <rFont val="Aptos Narrow"/>
      </rPr>
      <t>KESEROVICA_BRDO</t>
    </r>
    <r>
      <rPr>
        <sz val="11"/>
        <color rgb="FF000000"/>
        <rFont val="Aptos Narrow"/>
      </rPr>
      <t xml:space="preserve"> Na lokaciji smo u zakupu. Skup zakup od RTV. Na geoportalu nemamo ucrtanu parcelu. Baterije 2024. Vidjeti rješavanje i dodatne podnaponske za prenos. , Zamijenjene baterije</t>
    </r>
  </si>
  <si>
    <t>zamijenjene baterije u 2024. godini.</t>
  </si>
  <si>
    <t>Prostora oko objekta ima dovoljno ali je ugovorena montaža samo Kontejnera. Montaža agregata vjerovatno će uzrokovati povećanje cijene zakupa.</t>
  </si>
  <si>
    <t>Zenica</t>
  </si>
  <si>
    <t>Kakanj</t>
  </si>
  <si>
    <t>KAKANJ</t>
  </si>
  <si>
    <t>Zidani</t>
  </si>
  <si>
    <t>Zakup</t>
  </si>
  <si>
    <r>
      <t xml:space="preserve">Zakup; </t>
    </r>
    <r>
      <rPr>
        <sz val="11"/>
        <color rgb="FFFF0000"/>
        <rFont val="Aptos Narrow"/>
        <charset val="238"/>
      </rPr>
      <t>provjeriti mogućnost monaže agregata između objekta i stuba</t>
    </r>
  </si>
  <si>
    <t>zamjenjene baterije 2018.</t>
  </si>
  <si>
    <t>nema mogućnost montaže DEA, pod zakupom</t>
  </si>
  <si>
    <t>BLAGAJ_MATERA</t>
  </si>
  <si>
    <r>
      <t>MATERA</t>
    </r>
    <r>
      <rPr>
        <sz val="11"/>
        <rFont val="Aptos Narrow"/>
        <charset val="238"/>
      </rPr>
      <t xml:space="preserve"> Zahtjevnija montaža.</t>
    </r>
  </si>
  <si>
    <t>Tesanj</t>
  </si>
  <si>
    <t>TESANJ</t>
  </si>
  <si>
    <t>Nema mogućnost montaže. Zidani objekat zakup, potrebno dokupiti 2-3 m2 za agregat.</t>
  </si>
  <si>
    <t>Zidani objekat zakup, potrebno dokupiti 2-3 m2 za AG</t>
  </si>
  <si>
    <t>Travnik</t>
  </si>
  <si>
    <t>Jajce</t>
  </si>
  <si>
    <t>JAJCE</t>
  </si>
  <si>
    <t>5.5 x 5.5</t>
  </si>
  <si>
    <t>10 x 10</t>
  </si>
  <si>
    <r>
      <rPr>
        <sz val="11"/>
        <color rgb="FFFF0000"/>
        <rFont val="Aptos Narrow"/>
        <charset val="238"/>
      </rPr>
      <t>CUSINE</t>
    </r>
    <r>
      <rPr>
        <sz val="11"/>
        <rFont val="Aptos Narrow"/>
        <charset val="238"/>
      </rPr>
      <t xml:space="preserve"> Lokacija je pristupačna i mislim da nije potrebno imati stalno agregat</t>
    </r>
  </si>
  <si>
    <t>DA, Na lokaciji ograđen manji prostor od zakupljenog, tako da je potrebno samo pomjeriti ogradu i proširiti temelj</t>
  </si>
  <si>
    <t>Jablanica</t>
  </si>
  <si>
    <t>JABLANICA</t>
  </si>
  <si>
    <t>UGOVORENO</t>
  </si>
  <si>
    <r>
      <rPr>
        <sz val="11"/>
        <color rgb="FFFF0000"/>
        <rFont val="Aptos Narrow"/>
        <charset val="238"/>
      </rPr>
      <t>KRIZ</t>
    </r>
    <r>
      <rPr>
        <sz val="11"/>
        <rFont val="Aptos Narrow"/>
        <charset val="238"/>
      </rPr>
      <t xml:space="preserve"> uz značajnije građ. radove PREBACICE SE AGREGAT SA KARAŠNICE</t>
    </r>
  </si>
  <si>
    <t>jablanica-KRIŽ</t>
  </si>
  <si>
    <t>Zepce</t>
  </si>
  <si>
    <t>ZEPCE</t>
  </si>
  <si>
    <t>Montiramo pokretni agregat.</t>
  </si>
  <si>
    <t>Lokacija nije pod zakupom, koristi se cca65m2, a kupljeno je 95m2 zemljišta.</t>
  </si>
  <si>
    <t>Stolac</t>
  </si>
  <si>
    <t>RAN-W3P</t>
  </si>
  <si>
    <t>TOPOVINA_STOLAC</t>
  </si>
  <si>
    <t>Bos. Krupa</t>
  </si>
  <si>
    <t>COJLUK</t>
  </si>
  <si>
    <t xml:space="preserve">Ograda odmah uz kontejnerr. </t>
  </si>
  <si>
    <t>nove baterije</t>
  </si>
  <si>
    <t>DA, ograda je uz objekat ali je zakup 10mx10m</t>
  </si>
  <si>
    <t>RS</t>
  </si>
  <si>
    <t>Trebinje</t>
  </si>
  <si>
    <t>HUMAC</t>
  </si>
  <si>
    <t>zamijenjena podnaponska 2024.</t>
  </si>
  <si>
    <t>Konjic</t>
  </si>
  <si>
    <t>ZLATAR</t>
  </si>
  <si>
    <t>6 h</t>
  </si>
  <si>
    <t>8.0 x 6.25</t>
  </si>
  <si>
    <t>Stub sa zategama.</t>
  </si>
  <si>
    <t>Celic</t>
  </si>
  <si>
    <t>CELIC</t>
  </si>
  <si>
    <t>Nema mogućnosti montaže.</t>
  </si>
  <si>
    <t>rtv, nove baterije 16 blokova 2024.</t>
  </si>
  <si>
    <r>
      <t xml:space="preserve">U zidanom objektu RTV, neograđeno </t>
    </r>
    <r>
      <rPr>
        <b/>
        <sz val="11"/>
        <color rgb="FF000000"/>
        <rFont val="Aptos Narrow"/>
        <charset val="238"/>
      </rPr>
      <t>nema mogućnost montaže agregata</t>
    </r>
  </si>
  <si>
    <t>Bijeljina</t>
  </si>
  <si>
    <t>HASE</t>
  </si>
  <si>
    <t>Outdoor</t>
  </si>
  <si>
    <t>RAZDVOJENO MPLS I RAN NAPAJANJE, POSEBAN MTS KABINET ZA PRENOS. MPLS uređaj spojen na BLVD oba sistema (dodatna autonomija)</t>
  </si>
  <si>
    <t>novim IP  planirana zamjena baterija</t>
  </si>
  <si>
    <t>Čapljina</t>
  </si>
  <si>
    <t>TKC_CAPLJINA</t>
  </si>
  <si>
    <t>u zakupu, provjeriti ima li eronet/posta agregat</t>
  </si>
  <si>
    <t>nema mjesta za montažu DEA</t>
  </si>
  <si>
    <t>Sapna</t>
  </si>
  <si>
    <t>RAN-OSP</t>
  </si>
  <si>
    <t>SAPNA_MAHMUTOVICI</t>
  </si>
  <si>
    <t>24 h</t>
  </si>
  <si>
    <r>
      <t>MTS9402 ispod STUBA. Vlasnik lokacije privatno lice, potreban i veći kapacitet baterija. Montirane 3x150Ah Li baterije, teret cca 15 A.</t>
    </r>
    <r>
      <rPr>
        <sz val="11"/>
        <color rgb="FFFF0000"/>
        <rFont val="Aptos Narrow"/>
        <charset val="238"/>
      </rPr>
      <t xml:space="preserve"> AUTONOMIJA 24 h.</t>
    </r>
    <r>
      <rPr>
        <sz val="11"/>
        <color theme="1"/>
        <rFont val="Aptos Narrow"/>
        <charset val="238"/>
      </rPr>
      <t xml:space="preserve"> NA BLVD je PRENOSNA OPREMA (dodatna autonomija).</t>
    </r>
  </si>
  <si>
    <t>sav saobraćaj iz Podrinja je prebačen preko ove lokacije</t>
  </si>
  <si>
    <t>DOLAC_NA_LASVI</t>
  </si>
  <si>
    <t>Lokacija je pristupačna i mislim da nije potrebno imati stalno agregat</t>
  </si>
  <si>
    <t>zamijenjene bat u 11 mjesecu 2024</t>
  </si>
  <si>
    <t>Prioritet za agregat 2</t>
  </si>
  <si>
    <t>JELAH</t>
  </si>
  <si>
    <r>
      <rPr>
        <sz val="11"/>
        <color rgb="FFFF0000"/>
        <rFont val="Aptos Narrow"/>
        <charset val="238"/>
      </rPr>
      <t xml:space="preserve">SUBASICI </t>
    </r>
    <r>
      <rPr>
        <sz val="11"/>
        <color theme="1"/>
        <rFont val="Aptos Narrow"/>
        <charset val="238"/>
      </rPr>
      <t>U vlasništvu imamo 100 m2, moguće je instalirati agregat</t>
    </r>
  </si>
  <si>
    <t>U vlasništu imamo 100 m2, moguće je instalirati AG</t>
  </si>
  <si>
    <t>DA, ima mogućnost</t>
  </si>
  <si>
    <t>Donji Vakuf</t>
  </si>
  <si>
    <t>DVAKUF</t>
  </si>
  <si>
    <t>12 x 10</t>
  </si>
  <si>
    <r>
      <rPr>
        <sz val="11"/>
        <color rgb="FFFF0000"/>
        <rFont val="Aptos Narrow"/>
        <charset val="238"/>
      </rPr>
      <t>BAGINA_STRANA</t>
    </r>
    <r>
      <rPr>
        <sz val="11"/>
        <color theme="1"/>
        <rFont val="Aptos Narrow"/>
        <charset val="238"/>
      </rPr>
      <t xml:space="preserve"> Lokacija je pristupačna i mislim da nije potrebno imati stalno agregat</t>
    </r>
  </si>
  <si>
    <t>Visoko</t>
  </si>
  <si>
    <t>MOSTRE</t>
  </si>
  <si>
    <t>Zakup, ugrađen i FNE sistem kao podrška</t>
  </si>
  <si>
    <t>Vjerovatno postoji mogućnost dokupa od zakupodavca NK Moštre</t>
  </si>
  <si>
    <t>MALJEVAC</t>
  </si>
  <si>
    <t>Zakup. Ograda odmah uz kontejner. Prenos ide s BS Velika Kladuša. Teren oko lokacije u nagibu.</t>
  </si>
  <si>
    <t>prenos s BS V. Kladusa</t>
  </si>
  <si>
    <t>HONDICI</t>
  </si>
  <si>
    <t>zamijenjene bat. 2024., dvostrano napojeno</t>
  </si>
  <si>
    <t>Kalesija</t>
  </si>
  <si>
    <t>RAN-RR-OSP</t>
  </si>
  <si>
    <t>KALESIJA</t>
  </si>
  <si>
    <r>
      <rPr>
        <sz val="11"/>
        <color rgb="FFFF0000"/>
        <rFont val="Aptos Narrow"/>
      </rPr>
      <t>PATKOVO_BRDO</t>
    </r>
    <r>
      <rPr>
        <sz val="11"/>
        <color rgb="FF000000"/>
        <rFont val="Aptos Narrow"/>
      </rPr>
      <t xml:space="preserve">  Zamijenjene baterije. Novi Eaton ispravljač i nove baterije iz 2024., dobra autonomija, za razmatranje </t>
    </r>
    <r>
      <rPr>
        <b/>
        <sz val="11"/>
        <color rgb="FFFF0000"/>
        <rFont val="Aptos Narrow"/>
      </rPr>
      <t xml:space="preserve"> </t>
    </r>
  </si>
  <si>
    <t>nove baterije 2024.</t>
  </si>
  <si>
    <t>ima prostora</t>
  </si>
  <si>
    <t>Usora</t>
  </si>
  <si>
    <t>TESANJKA</t>
  </si>
  <si>
    <t>Imamo pravo korištenja 120m2,, koristimo cca. 65m2</t>
  </si>
  <si>
    <t>Busovača</t>
  </si>
  <si>
    <t>BUSOVACA</t>
  </si>
  <si>
    <t>Kiseljak</t>
  </si>
  <si>
    <t>KISELJAK</t>
  </si>
  <si>
    <t>Na lokaciji ograđen manji prostor od zakupljenog, tako da je potrebno samo pomjeriti ogradu i proširiti temelj</t>
  </si>
  <si>
    <t>Lukavac</t>
  </si>
  <si>
    <t>MODRAC</t>
  </si>
  <si>
    <r>
      <rPr>
        <sz val="11"/>
        <color rgb="FF000000"/>
        <rFont val="Aptos Narrow"/>
      </rPr>
      <t xml:space="preserve">MODRAC zamijenjene baterije LOKACIJA ZAMIJENJENA SA </t>
    </r>
    <r>
      <rPr>
        <sz val="11"/>
        <color rgb="FFFF0000"/>
        <rFont val="Aptos Narrow"/>
      </rPr>
      <t>BANOVICI_SELO</t>
    </r>
    <r>
      <rPr>
        <sz val="11"/>
        <color rgb="FF000000"/>
        <rFont val="Aptos Narrow"/>
      </rPr>
      <t xml:space="preserve"> KOJA JE UVRSTENA U IP</t>
    </r>
  </si>
  <si>
    <t>zamjenjene baterije 2024.</t>
  </si>
  <si>
    <t>Bos. Gradiška</t>
  </si>
  <si>
    <t>TKC_GRADISKA</t>
  </si>
  <si>
    <t>Zakup objekta, II sprat objekta</t>
  </si>
  <si>
    <r>
      <t xml:space="preserve">Zakup objekta, </t>
    </r>
    <r>
      <rPr>
        <sz val="11"/>
        <color rgb="FFFF0000"/>
        <rFont val="Aptos Narrow"/>
        <charset val="238"/>
      </rPr>
      <t xml:space="preserve">prostorija na </t>
    </r>
    <r>
      <rPr>
        <sz val="11"/>
        <color theme="1"/>
        <rFont val="Aptos Narrow"/>
        <charset val="238"/>
      </rPr>
      <t xml:space="preserve">II sprat objekta; </t>
    </r>
    <r>
      <rPr>
        <sz val="11"/>
        <color rgb="FFFF0000"/>
        <rFont val="Aptos Narrow"/>
        <charset val="238"/>
      </rPr>
      <t>provjeriti da lizakupodavac ima agregat i mogućnost aneksiranja ugovora</t>
    </r>
  </si>
  <si>
    <t>nema mogućnost montaže DEA</t>
  </si>
  <si>
    <t>Tomislavgrad</t>
  </si>
  <si>
    <t>TOMISLAVGRAD RUDINE</t>
  </si>
  <si>
    <t xml:space="preserve"> -</t>
  </si>
  <si>
    <t>15 x 10</t>
  </si>
  <si>
    <t>TURBE</t>
  </si>
  <si>
    <t xml:space="preserve">Lokacija je dominantna i ima veliku zonu pokrivanja.  Zemljište je u vlasništvu BH Telecoma. </t>
  </si>
  <si>
    <t>KRNDIJA</t>
  </si>
  <si>
    <t xml:space="preserve">u vlasništvu imamo 100 m2, moguće instalirati AG </t>
  </si>
  <si>
    <t>u vlasništvu imamo 100 m2, moguće instalirati AG</t>
  </si>
  <si>
    <t>BABANOVAC_BRDO</t>
  </si>
  <si>
    <t xml:space="preserve">Lokacija je pristupačna i mislim da nije potrebno imati stalno agregat </t>
  </si>
  <si>
    <t>Prioritet za agregat 3</t>
  </si>
  <si>
    <t>Buzim</t>
  </si>
  <si>
    <t>BUCEVCI</t>
  </si>
  <si>
    <t>Ograda odmah uz kontejner.</t>
  </si>
  <si>
    <t>Sanski Most</t>
  </si>
  <si>
    <t>CAPLJE</t>
  </si>
  <si>
    <t>Ograda odmah uz kontejner. Siteshare sa Eronet (kod nas Eronet)</t>
  </si>
  <si>
    <t>Prozor</t>
  </si>
  <si>
    <t>PROZOR</t>
  </si>
  <si>
    <t>Ograda odmah uz kontejner. Nema mogućnosti montaže agregata.</t>
  </si>
  <si>
    <t>Goražde</t>
  </si>
  <si>
    <t>Rogatica</t>
  </si>
  <si>
    <t>BORIKE</t>
  </si>
  <si>
    <t>Gacko</t>
  </si>
  <si>
    <t>GACKO</t>
  </si>
  <si>
    <t>10 x 12</t>
  </si>
  <si>
    <t>Ograđeno 10x12 m. kontejner pored stuba. Prostor nije problem</t>
  </si>
  <si>
    <t>PRENOS-OSP</t>
  </si>
  <si>
    <t>FTTE_HAN_BILA</t>
  </si>
  <si>
    <t>Montaža uz Zidani objekat. U naseljenom mjestu. Potreban veći nivo zaštite od buke (Super Silent vanjsko kućište)</t>
  </si>
  <si>
    <t>RAN-PRENOS-OSP</t>
  </si>
  <si>
    <t>POTOCI</t>
  </si>
  <si>
    <t>3 x 4</t>
  </si>
  <si>
    <t>POSTA Unutrašnja montaža</t>
  </si>
  <si>
    <t>TKC_BIJELJINA</t>
  </si>
  <si>
    <t>BS u TKC MTel-a Bijeljina, Nema mogućnosti montaže.</t>
  </si>
  <si>
    <r>
      <rPr>
        <sz val="11"/>
        <color rgb="FF000000"/>
        <rFont val="Aptos Narrow"/>
        <charset val="238"/>
      </rPr>
      <t xml:space="preserve">NE, </t>
    </r>
    <r>
      <rPr>
        <b/>
        <sz val="11"/>
        <color rgb="FF000000"/>
        <rFont val="Aptos Narrow"/>
        <charset val="238"/>
      </rPr>
      <t>nema mogućnost montaže agregata</t>
    </r>
  </si>
  <si>
    <t>Prnjavor</t>
  </si>
  <si>
    <t>TKC_PRNJAVOR</t>
  </si>
  <si>
    <t>Zakup zemljišta na lokaciji za kontejner, provjeriti da li zakupodavac ima agregat</t>
  </si>
  <si>
    <t>Zakup zemljišta na lokaciji za Kontejner, provjeriti da li zakupodavac ima agregat i mogućnost aneksiranja ugovora</t>
  </si>
  <si>
    <t>Sarajevo</t>
  </si>
  <si>
    <t>Vogosca</t>
  </si>
  <si>
    <t>GORNJA_JOSANICA</t>
  </si>
  <si>
    <t>Gradske lokacije, nema prostora za montažu, pokrivanje pokretnim agregatom u slučaju potrebe.</t>
  </si>
  <si>
    <t>Bila Prioritet za agregat 1</t>
  </si>
  <si>
    <t>Nema prostora za montažu DEA</t>
  </si>
  <si>
    <t>VIDIKOVAC</t>
  </si>
  <si>
    <t>stare baterije</t>
  </si>
  <si>
    <t>Novi Grad SA</t>
  </si>
  <si>
    <t>BHRTV_DOM</t>
  </si>
  <si>
    <t>Predlažemo ubacivanje dodatnih baterija.</t>
  </si>
  <si>
    <r>
      <t xml:space="preserve">Potkrovlje, </t>
    </r>
    <r>
      <rPr>
        <b/>
        <sz val="11"/>
        <rFont val="Aptos Narrow"/>
        <charset val="238"/>
      </rPr>
      <t>RRU unutar</t>
    </r>
    <r>
      <rPr>
        <sz val="11"/>
        <rFont val="Aptos Narrow"/>
        <charset val="238"/>
      </rPr>
      <t xml:space="preserve"> prostorije</t>
    </r>
  </si>
  <si>
    <t>DOBRINJA</t>
  </si>
  <si>
    <t>zamijenjene 2024.</t>
  </si>
  <si>
    <t>Centar SA</t>
  </si>
  <si>
    <t>HOLIDAY_INN</t>
  </si>
  <si>
    <t>/</t>
  </si>
  <si>
    <t>BOLNICKA</t>
  </si>
  <si>
    <t>smanjen kapacitet Outdoor</t>
  </si>
  <si>
    <t>Ilidza</t>
  </si>
  <si>
    <t>AERODROM_GP</t>
  </si>
  <si>
    <t>Bihac</t>
  </si>
  <si>
    <t>BIHAC_BANKA</t>
  </si>
  <si>
    <t>Cazin</t>
  </si>
  <si>
    <t>MALA_LISA</t>
  </si>
  <si>
    <t>TUZLA_CENTAR</t>
  </si>
  <si>
    <t>U krugu poštanskog centra, zakup ima prostora</t>
  </si>
  <si>
    <t>BUZIM</t>
  </si>
  <si>
    <t xml:space="preserve">U zakupu kod RTV oprema u njihovom objektu. U istoj prostoriji sva zajednička oprema. Imamo brojilo nemamo izdvojen prostor. </t>
  </si>
  <si>
    <t>rtv</t>
  </si>
  <si>
    <t>Hadžići</t>
  </si>
  <si>
    <t>HADŽIĆI CENTAR</t>
  </si>
  <si>
    <t>NEMA MJESTA</t>
  </si>
  <si>
    <t>Banja Luka</t>
  </si>
  <si>
    <t>HIGHBUILDING</t>
  </si>
  <si>
    <t>Osmi sprat poslovne zgrade zakup objekta</t>
  </si>
  <si>
    <t>osmi sprat poslovne zgrade zakup objekta</t>
  </si>
  <si>
    <t>LUKAVAC CENTAR</t>
  </si>
  <si>
    <t>Potkrovlje zgrade Dženex doo, nema mogućnost montaže agregata</t>
  </si>
  <si>
    <t>lokacija nije bila na spisku "popis bitnih po kriteriju generisanog saobraćaja" bila je Lukavac VF koje nama sada na spisku</t>
  </si>
  <si>
    <r>
      <t xml:space="preserve">NE, </t>
    </r>
    <r>
      <rPr>
        <b/>
        <sz val="11"/>
        <rFont val="Aptos Narrow"/>
        <charset val="238"/>
      </rPr>
      <t>nema mogućnost montaže agregata</t>
    </r>
  </si>
  <si>
    <t>Srebrenica</t>
  </si>
  <si>
    <t>SREBRENICA CENTAR</t>
  </si>
  <si>
    <t>BS montirana na Džamiji</t>
  </si>
  <si>
    <r>
      <t xml:space="preserve">NE, </t>
    </r>
    <r>
      <rPr>
        <b/>
        <sz val="11"/>
        <color theme="0"/>
        <rFont val="Aptos Narrow"/>
        <charset val="238"/>
      </rPr>
      <t>nema mogućnost montaže agregata</t>
    </r>
  </si>
  <si>
    <t>STUPSKO_BRDO</t>
  </si>
  <si>
    <t>Bila Prioritet za agregat 2</t>
  </si>
  <si>
    <t>KOSEVO_SJEVER</t>
  </si>
  <si>
    <t>Novo Sarajevo</t>
  </si>
  <si>
    <t>GRBAVICA_STADION</t>
  </si>
  <si>
    <t>MERKUR</t>
  </si>
  <si>
    <t>SARAJEVO_CITY_CENTAR</t>
  </si>
  <si>
    <t>ima Outdoor (1x100Ah) i indoor (4 baterije x120Ah)</t>
  </si>
  <si>
    <t>TEKIJA</t>
  </si>
  <si>
    <t>objekat</t>
  </si>
  <si>
    <t>zamijenjene bat. 2024.</t>
  </si>
  <si>
    <t>SJENJAK</t>
  </si>
  <si>
    <t>Baterije iz 2017 godine, novim IP predviđena zamjena, 2024. godine izvršena zamjena modula Vane Eaton</t>
  </si>
  <si>
    <t>novim IP prediđena zamjena baterija</t>
  </si>
  <si>
    <t>nema prostora</t>
  </si>
  <si>
    <t>VRAPCICI</t>
  </si>
  <si>
    <t>ograda uz sami kontejner</t>
  </si>
  <si>
    <t>CAVKUNOVIC</t>
  </si>
  <si>
    <t>Outdoor BS.  U zakupu u zidanoj prostoriji.</t>
  </si>
  <si>
    <t>BOSANSKA_KRUPA</t>
  </si>
  <si>
    <t>Neograđen objekat u  vlasništvu BHTelecom-a.. Nema pristupnog puta ka lokaciji i nemoguće za održavanje.</t>
  </si>
  <si>
    <t>NE, nema pristupnog puta</t>
  </si>
  <si>
    <t>Foča</t>
  </si>
  <si>
    <t>FOČA</t>
  </si>
  <si>
    <t>Predmet dislokacije</t>
  </si>
  <si>
    <t>Livno</t>
  </si>
  <si>
    <t>LIVNO</t>
  </si>
  <si>
    <t>nema prostora za montažu DEA</t>
  </si>
  <si>
    <t>Odzak</t>
  </si>
  <si>
    <t>ODŽAK</t>
  </si>
  <si>
    <t>Krov stanbene zgrade. Nema mogućnosti montaže.</t>
  </si>
  <si>
    <t>nova lokacija (dislokacija) sa novom opremom</t>
  </si>
  <si>
    <t>POTOČARI</t>
  </si>
  <si>
    <t>Na lokaciji dva ispravljačka sistema, zaseban prenos uvezan u IP daljinski nadzor</t>
  </si>
  <si>
    <t>zamjenjene baterije 2024. na oba  ispravljačka sistema</t>
  </si>
  <si>
    <t>GLAVICA</t>
  </si>
  <si>
    <t>Lokacija nema dozvole i neće se moći pribaviti urbanistička za DEA. Lokacija nije fizički na ucrtanoj parceli. Sa nama u Siteshare Eronet i Mtel. Baterije 2024.</t>
  </si>
  <si>
    <t>Bila Prioritet za agregat 3</t>
  </si>
  <si>
    <t>CORALICI</t>
  </si>
  <si>
    <t>Ograda odmah uz kontejner. Kod nas Mtel i Eronet. Parcela u vlasništvu BHTelecoma.</t>
  </si>
  <si>
    <t xml:space="preserve">DA, ograda je uz objekat ali je prarcela u vlašništvu BH Telecoma veća od ograđenog prosotra.
</t>
  </si>
  <si>
    <t>SOLINA_CENTAR</t>
  </si>
  <si>
    <t>autonomija 9 sati, zadnja u kaskadi</t>
  </si>
  <si>
    <t>OTOKA</t>
  </si>
  <si>
    <t>U zakupu kod televizije oprema u njihovom objektu. Imamo brojilo nemamo izdvoijen prostor.  U istoj prostoriji sva zajednička oprema.</t>
  </si>
  <si>
    <t>Bratunac</t>
  </si>
  <si>
    <t>BRATUNAC</t>
  </si>
  <si>
    <t xml:space="preserve">novi ispravljač i baterije 2024. </t>
  </si>
  <si>
    <t>Već ima agregat</t>
  </si>
  <si>
    <t>ima agregat</t>
  </si>
  <si>
    <t>Gračanica</t>
  </si>
  <si>
    <t>GRACANICA</t>
  </si>
  <si>
    <t>JANJA</t>
  </si>
  <si>
    <t>Srebrenik</t>
  </si>
  <si>
    <t>SREBRENIK</t>
  </si>
  <si>
    <t>Teočak</t>
  </si>
  <si>
    <t>TEOCAK_CENTAR</t>
  </si>
  <si>
    <t>TKC_GORAZDE</t>
  </si>
  <si>
    <t>planirana zamjena postojećeg DEA kroz IP</t>
  </si>
  <si>
    <t>Ilidža</t>
  </si>
  <si>
    <t>TKC_ILIDZA</t>
  </si>
  <si>
    <t>TKC_KALESIJA</t>
  </si>
  <si>
    <t>Olovo</t>
  </si>
  <si>
    <t>TKC_OLOVO</t>
  </si>
  <si>
    <t>TKC TUZLA</t>
  </si>
  <si>
    <t>TKC ZENICA</t>
  </si>
  <si>
    <t>Postoji agregat</t>
  </si>
  <si>
    <t>3 agregata</t>
  </si>
  <si>
    <t>TRAVNIK_TKC</t>
  </si>
  <si>
    <t>Na lokaciji ima agregat</t>
  </si>
  <si>
    <t>Foča Ustikolina</t>
  </si>
  <si>
    <t>ZEBINA SUMA</t>
  </si>
  <si>
    <t>RTV, postoji agregat</t>
  </si>
  <si>
    <t>Predmet dislokacije, trenuntno na lokaciji ima agregat</t>
  </si>
  <si>
    <t>ima P33-3</t>
  </si>
  <si>
    <t>Zvornik</t>
  </si>
  <si>
    <t>ZVORNIK</t>
  </si>
  <si>
    <t>zamjenjene baterije i sistem 2024.</t>
  </si>
  <si>
    <t>HAMANDZICI</t>
  </si>
  <si>
    <t>ZAVRSENO</t>
  </si>
  <si>
    <t>11 BS RR LINKOVIMA (5 DIREKTNO, 3 ZAŠTITNA, 3 KASKADNO), RR i prenos zasebno napajanje</t>
  </si>
  <si>
    <t>Gornji Vakuf</t>
  </si>
  <si>
    <t>RAJCI</t>
  </si>
  <si>
    <t>ATN950D_PE_RAJCI-STUB, 12 BAZNIH STANICA RR LINKOVIMA,
2 VELIKA KORISNIKA - ME3400 BINGO RR LINKOM, 4 DSLAM UREĐAJA - 2 RR LINKOM, 2 OPTIKOM</t>
  </si>
  <si>
    <t>Laktaši</t>
  </si>
  <si>
    <t>DEVETINE</t>
  </si>
  <si>
    <t>8 BS</t>
  </si>
  <si>
    <t>OBODNICA</t>
  </si>
  <si>
    <t>IPMPLS, FTTC, 6BS</t>
  </si>
  <si>
    <t>BD</t>
  </si>
  <si>
    <t>Brčko Distrikt</t>
  </si>
  <si>
    <t>SATOROVICI</t>
  </si>
  <si>
    <t xml:space="preserve">12BS </t>
  </si>
  <si>
    <t>Ljubuški</t>
  </si>
  <si>
    <t>RAN-RR-MPLS</t>
  </si>
  <si>
    <t>SITOMIR</t>
  </si>
  <si>
    <t>1 MPLS, 18 BS, 14 VK, 6 MPLS linkova</t>
  </si>
  <si>
    <t>JELICA</t>
  </si>
  <si>
    <t>Nema mogućnost montaže, 7 BS, 1 VK, 1 DSLAM</t>
  </si>
  <si>
    <t>KRUSCICA_ZE</t>
  </si>
  <si>
    <t>1 MPLS, 11 BS, 9 DSLAM, 2 MPLS linka</t>
  </si>
  <si>
    <t>LJUTOC</t>
  </si>
  <si>
    <t>8xBS+1xFTTC+(internet za migrantski kamp)+2xVK+(MPLS prsten)</t>
  </si>
  <si>
    <t>Ključ</t>
  </si>
  <si>
    <t>KLJUC</t>
  </si>
  <si>
    <r>
      <rPr>
        <sz val="11"/>
        <color rgb="FFFF0000"/>
        <rFont val="Aptos Narrow"/>
        <charset val="238"/>
      </rPr>
      <t>LUBICA</t>
    </r>
    <r>
      <rPr>
        <sz val="11"/>
        <color theme="1"/>
        <rFont val="Aptos Narrow"/>
        <charset val="238"/>
      </rPr>
      <t xml:space="preserve"> 10xBS+1xW3P</t>
    </r>
  </si>
  <si>
    <t>Prijedor</t>
  </si>
  <si>
    <t>KOZARAC</t>
  </si>
  <si>
    <t>13xBS+1xGIA+(Telecom centar)+(MPLS prsten)</t>
  </si>
  <si>
    <t>Višegrad</t>
  </si>
  <si>
    <t>HINJEVAC</t>
  </si>
  <si>
    <t>Prenos i RR imaju zasebno napajanje. 13 BS (preko  manjih čvorišta Meremišlje, Rudine, Vijarac i Višegrad);</t>
  </si>
  <si>
    <t>Mrkonjić Grad</t>
  </si>
  <si>
    <t>MRKONJIC_GRAD</t>
  </si>
  <si>
    <r>
      <rPr>
        <sz val="11"/>
        <color rgb="FFFF0000"/>
        <rFont val="Aptos Narrow"/>
        <charset val="238"/>
      </rPr>
      <t>GRABEZ</t>
    </r>
    <r>
      <rPr>
        <sz val="11"/>
        <color rgb="FF000000"/>
        <rFont val="Aptos Narrow"/>
        <charset val="238"/>
      </rPr>
      <t xml:space="preserve"> 13 BS RR LINKOVIMA (7 KASKADNO, 6 DIREKTNO)</t>
    </r>
  </si>
  <si>
    <t>VITEZ_VBUKOVICA</t>
  </si>
  <si>
    <r>
      <rPr>
        <sz val="11"/>
        <color rgb="FFFF0000"/>
        <rFont val="Aptos Narrow"/>
        <charset val="238"/>
      </rPr>
      <t>TRAVNIK</t>
    </r>
    <r>
      <rPr>
        <sz val="11"/>
        <color rgb="FF000000"/>
        <rFont val="Aptos Narrow"/>
        <charset val="238"/>
      </rPr>
      <t xml:space="preserve"> ASR920_PE_V_BUKOVICA-STUB, 6 BAZNIH STANICA  RR LINKOVIMA, 3 DSLAM UREĐAJA - 2 RR LINKOM, 1 OPTIKOM, 4 VELIKA KORISNIKA - 3 RR-om, 1 OPTIKOM</t>
    </r>
  </si>
  <si>
    <t>Teslić</t>
  </si>
  <si>
    <t>KOMUSINA</t>
  </si>
  <si>
    <t>6 BS</t>
  </si>
  <si>
    <t xml:space="preserve">LEOTAR </t>
  </si>
  <si>
    <t>Nema mogućnost montaže, 1 MPLS, 9 BS, 1 VK, 3 MPLS linka</t>
  </si>
  <si>
    <t>zahtjev prema HT Eronet</t>
  </si>
  <si>
    <t>BUTUROVIC_POLJE</t>
  </si>
  <si>
    <t>POSTA IP Cvoriste bez RR veza, 1 MPLS, 1 MDWDM, 5 BS, 7 DSLAM, 1 VK, 8 MPLS linkova Zamijenjene baterije</t>
  </si>
  <si>
    <t>LANISTE</t>
  </si>
  <si>
    <t>5xBS+1xVK</t>
  </si>
  <si>
    <t>Bos. Dubica</t>
  </si>
  <si>
    <t>LAZICI</t>
  </si>
  <si>
    <t>9xBS , RR zasebno napajanje</t>
  </si>
  <si>
    <t>Zavidovići</t>
  </si>
  <si>
    <t>ZAVIDOVICI</t>
  </si>
  <si>
    <r>
      <rPr>
        <sz val="11"/>
        <color rgb="FFFF0000"/>
        <rFont val="Aptos Narrow"/>
        <charset val="238"/>
      </rPr>
      <t>KLEK</t>
    </r>
    <r>
      <rPr>
        <sz val="11"/>
        <color theme="1"/>
        <rFont val="Aptos Narrow"/>
        <charset val="238"/>
      </rPr>
      <t xml:space="preserve"> 9 BS i 2 FTTC</t>
    </r>
  </si>
  <si>
    <t>KULEN_VAKUF</t>
  </si>
  <si>
    <t>4xBS+1xFTTC+1xVK , RR zasebno napajanje</t>
  </si>
  <si>
    <t>R.BR.</t>
  </si>
  <si>
    <t>Regija</t>
  </si>
  <si>
    <t>Prijedlog RR čvorišta za instalaciju novog agregata</t>
  </si>
  <si>
    <t>Broj BS na Čvorištu</t>
  </si>
  <si>
    <t xml:space="preserve"> PRIORITET</t>
  </si>
  <si>
    <t>BS HAMANDŽIĆI</t>
  </si>
  <si>
    <t>11 BS RR LINKOVIMA (5 DIREKTNO, 3 ZAŠTITNA, 3 KASKADNO)</t>
  </si>
  <si>
    <r>
      <t xml:space="preserve">Lokacija je prilagođena radu na agregat, nekad je tu bio kontejner kao na Mliništima, dok nije urađen EE priključak. Po završetku radova na Mliništima, u planu smo da kontejner s Mliništa prebacimo na ovu lokaciju. </t>
    </r>
    <r>
      <rPr>
        <b/>
        <sz val="10.5"/>
        <color rgb="FFFF0000"/>
        <rFont val="Arial"/>
        <family val="2"/>
        <charset val="238"/>
      </rPr>
      <t>PREBAČEN KONTEJNER SA MLINISTA</t>
    </r>
  </si>
  <si>
    <t>BS RAJCI</t>
  </si>
  <si>
    <r>
      <t xml:space="preserve">Na lokaciji ograđen manji prostor od zakupljenog, tako da je potrebno samo pomjeriti ogradu i proširiti temelj. </t>
    </r>
    <r>
      <rPr>
        <b/>
        <sz val="10.5"/>
        <color rgb="FFFF0000"/>
        <rFont val="Arial"/>
        <family val="2"/>
        <charset val="238"/>
      </rPr>
      <t>UVRSTENO U IP</t>
    </r>
  </si>
  <si>
    <t xml:space="preserve">BS Devetine </t>
  </si>
  <si>
    <r>
      <t xml:space="preserve">zakup, potreban dodatni zakup zemljišta, </t>
    </r>
    <r>
      <rPr>
        <sz val="10.5"/>
        <color rgb="FFC00000"/>
        <rFont val="Arial"/>
        <family val="2"/>
        <charset val="238"/>
      </rPr>
      <t>pristup problem?</t>
    </r>
    <r>
      <rPr>
        <sz val="10.5"/>
        <color theme="1"/>
        <rFont val="Arial"/>
        <family val="2"/>
        <charset val="238"/>
      </rPr>
      <t xml:space="preserve">. </t>
    </r>
    <r>
      <rPr>
        <b/>
        <sz val="10.5"/>
        <color rgb="FFFF0000"/>
        <rFont val="Arial"/>
        <family val="2"/>
        <charset val="238"/>
      </rPr>
      <t>UGOVORENO. REALIZACIJA DO MAJA 2026.</t>
    </r>
  </si>
  <si>
    <t xml:space="preserve">Obodnica </t>
  </si>
  <si>
    <r>
      <t xml:space="preserve">Vlastita lokacija/zemljište, vjerovatno ograđeno manje od kupljenog, potrebana prilagodba ograde. Na lokaciji 2024. godine zamjenjen kompletan ispravljački sistem sa 16 blokova baterija kapaciteta 420Ah, Eaton ispravljač sa dvije podnaponske , druga podnaponska samo za  RR , lokacija uvezana u IP daljinski nadzor </t>
    </r>
    <r>
      <rPr>
        <b/>
        <sz val="10.5"/>
        <color rgb="FFFF0000"/>
        <rFont val="Arial"/>
        <family val="2"/>
        <charset val="238"/>
      </rPr>
      <t>UVRSTENO U IP</t>
    </r>
  </si>
  <si>
    <t xml:space="preserve">Šatorovići </t>
  </si>
  <si>
    <r>
      <t xml:space="preserve">Vlastita lokacija/zemljište, vjerovatno ograđeno manje od kupljenog, potrebana prilagodba ograde. 08.01. 2025. na lokaciji montiran dodatni ispravljač samo za RR i uvezan u IP daljinski nadzor,potrebno  obezbijediti veći baterijski kapacitet. </t>
    </r>
    <r>
      <rPr>
        <b/>
        <sz val="10.5"/>
        <color rgb="FFFF0000"/>
        <rFont val="Arial"/>
        <family val="2"/>
        <charset val="238"/>
      </rPr>
      <t>UVRSTENO U IP</t>
    </r>
  </si>
  <si>
    <t>BS Sitomir</t>
  </si>
  <si>
    <r>
      <t xml:space="preserve">u proceduri pribavljanja dozvole. Nabavka u 2025. godini. </t>
    </r>
    <r>
      <rPr>
        <b/>
        <sz val="10.5"/>
        <color rgb="FFFF0000"/>
        <rFont val="Arial"/>
        <family val="2"/>
        <charset val="238"/>
      </rPr>
      <t>UGOVORENO. REALIZACIJA DO MAJA 2026.</t>
    </r>
  </si>
  <si>
    <t>BS Jelica</t>
  </si>
  <si>
    <t>7 BS, 1 VK, 1 DSLAM</t>
  </si>
  <si>
    <t>veoma loš pristup, već razdvojen prenos sa dobrom autonomijom.</t>
  </si>
  <si>
    <t>Kruščica (IP čvorište, bez RR veza)</t>
  </si>
  <si>
    <r>
      <t xml:space="preserve">planirati manji agregat </t>
    </r>
    <r>
      <rPr>
        <b/>
        <sz val="10.5"/>
        <color rgb="FFFF0000"/>
        <rFont val="Arial"/>
        <family val="2"/>
        <charset val="238"/>
      </rPr>
      <t>UVRSTENO U IP</t>
    </r>
  </si>
  <si>
    <t>BS Ljutoč</t>
  </si>
  <si>
    <t>da, nije moguće pribaviti dozvolu</t>
  </si>
  <si>
    <r>
      <t xml:space="preserve">Napajanje na lokaciji veoma nepouzdano. Lokacija je po  kriteriju nepouzdanog  najugoženija u RD Bihać i prioritet je za nabavku agregata. Nabavka u 2025. godini Lokacija nema riješene IPO i dozvole, biće nabavljen pokretni agregat, za koji nije potrebna dozvola.  </t>
    </r>
    <r>
      <rPr>
        <b/>
        <sz val="10.5"/>
        <color rgb="FFFF0000"/>
        <rFont val="Arial"/>
        <family val="2"/>
        <charset val="238"/>
      </rPr>
      <t>UGOVORENO. REALIZACIJA DO MAJA 2026.</t>
    </r>
  </si>
  <si>
    <t>BS Ključ</t>
  </si>
  <si>
    <t>10xBS+1xW3P</t>
  </si>
  <si>
    <r>
      <t xml:space="preserve">Zakupljeno 100 m2, ograđeno 50m2. Ograda odmah oko kontejnera. Potrebno provjeriti stvarnu površinu zakupa i vidjeti da li se može smjestiti agregat. Priklkjučak ide kroz šumu i bio je u kvaru nakon posljednjeg nevremena. </t>
    </r>
    <r>
      <rPr>
        <b/>
        <sz val="10.5"/>
        <color rgb="FFFF0000"/>
        <rFont val="Arial"/>
        <family val="2"/>
        <charset val="238"/>
      </rPr>
      <t>UVRSTENO U IP</t>
    </r>
  </si>
  <si>
    <t>BS Kozarac</t>
  </si>
  <si>
    <r>
      <t>Može se smjestiti agregat unutar ograđenog prostora. Bitna i za prenos i za pouzran rad BS za pružanje usluga korisnika u samom Kozarcu.</t>
    </r>
    <r>
      <rPr>
        <b/>
        <sz val="10.5"/>
        <color rgb="FFFF0000"/>
        <rFont val="Arial"/>
        <family val="2"/>
        <charset val="238"/>
      </rPr>
      <t xml:space="preserve"> UVRSTENO U IP</t>
    </r>
  </si>
  <si>
    <t xml:space="preserve">Hinjevac </t>
  </si>
  <si>
    <t>13 BS (preko  manjih čvorišta Meremišlje, Rudine, Vijarac i Višegrad);  2. AGREGACIJSKE VEZE</t>
  </si>
  <si>
    <r>
      <t xml:space="preserve">Zakup zemljišta od JP Šume RS. Potrebno napraviti aneks postojećeg zakupa. Potrebno proširenje ograde i temelja. </t>
    </r>
    <r>
      <rPr>
        <sz val="10.5"/>
        <color rgb="FFC00000"/>
        <rFont val="Arial"/>
        <family val="2"/>
        <charset val="238"/>
      </rPr>
      <t>Razmotriti proširenje i sanaciju pristupnog puta</t>
    </r>
    <r>
      <rPr>
        <sz val="10.5"/>
        <color theme="1"/>
        <rFont val="Arial"/>
        <family val="2"/>
        <charset val="238"/>
      </rPr>
      <t xml:space="preserve">. </t>
    </r>
    <r>
      <rPr>
        <b/>
        <sz val="10.5"/>
        <color rgb="FFFF0000"/>
        <rFont val="Arial"/>
        <family val="2"/>
        <charset val="238"/>
      </rPr>
      <t>UVRSTENO U IP</t>
    </r>
  </si>
  <si>
    <t>BS MRKONJIĆ GRAD</t>
  </si>
  <si>
    <t>13 BS RR LINKOVIMA (7 KASKADNO, 6 DIREKTNO)</t>
  </si>
  <si>
    <r>
      <t xml:space="preserve">Na lokaciji ograđen manji prostor od zakupljenog, tako da je potrebno samo pomjeriti ogradu i proširiti temelj </t>
    </r>
    <r>
      <rPr>
        <b/>
        <sz val="10.5"/>
        <color rgb="FFFF0000"/>
        <rFont val="Arial"/>
        <family val="2"/>
        <charset val="238"/>
      </rPr>
      <t>UVRSTENO U IP</t>
    </r>
  </si>
  <si>
    <t>BS VITEZ (VELIKA BUKOVICA)</t>
  </si>
  <si>
    <t>ASR920_PE_V_BUKOVICA-STUB, 6 BAZNIH STANICA  RR LINKOVIMA, 3 DSLAM UREĐAJA - 2 RR LINKOM, 1 OPTIKOM, 4 VELIKA KORISNIKA - 3 RR-om, 1 OPTIKOM</t>
  </si>
  <si>
    <t>BS Komušina</t>
  </si>
  <si>
    <r>
      <t>zakupljeno zemljišta 100m2, ograđeno 50m2</t>
    </r>
    <r>
      <rPr>
        <b/>
        <sz val="10.5"/>
        <color rgb="FFFF0000"/>
        <rFont val="Arial"/>
        <family val="2"/>
        <charset val="238"/>
      </rPr>
      <t xml:space="preserve"> UVRSTENO U IP</t>
    </r>
  </si>
  <si>
    <t>BS Leotar (zahtjev prema HETu)</t>
  </si>
  <si>
    <t>1 MPLS, 9 BS, 1 VK, 3 MPLS linka</t>
  </si>
  <si>
    <t>?</t>
  </si>
  <si>
    <t>Potrebne dodatne provjere</t>
  </si>
  <si>
    <t>Pošta Buturović Polje (IP čvorište, bez RR veza)</t>
  </si>
  <si>
    <t>1 MPLS, 1 MDWDM, 5 BS, 7 DSLAM, 1 VK, 8 MPLS linkova</t>
  </si>
  <si>
    <t>da i NE, upitno pribavljanje saglasnosti stanara</t>
  </si>
  <si>
    <t xml:space="preserve">da </t>
  </si>
  <si>
    <r>
      <t xml:space="preserve">trenutno dvostrano napojeno, mijenjali smo baterije 2024. prostor u stambenoj zgradi, </t>
    </r>
    <r>
      <rPr>
        <b/>
        <sz val="10.5"/>
        <color theme="0"/>
        <rFont val="Arial"/>
        <family val="2"/>
        <charset val="238"/>
      </rPr>
      <t>upitna mogućnost postavljanja agregata</t>
    </r>
  </si>
  <si>
    <t>BS Lanište</t>
  </si>
  <si>
    <r>
      <t xml:space="preserve">Lokacija bila predložena u decembru 2024. Prilikom nevremena u decembru 2024. lokacija dugo bila bez EE. </t>
    </r>
    <r>
      <rPr>
        <b/>
        <sz val="10.5"/>
        <color rgb="FFFF0000"/>
        <rFont val="Arial"/>
        <family val="2"/>
        <charset val="238"/>
      </rPr>
      <t>UVRSTENO U IP</t>
    </r>
  </si>
  <si>
    <t>BS Lazići</t>
  </si>
  <si>
    <t>9xBS</t>
  </si>
  <si>
    <t>da, upitno pribavljanje dozvola, prijedlog DEA na prikolici</t>
  </si>
  <si>
    <r>
      <t xml:space="preserve">Može se smjestiti agregat unutar ograđenog prostora. Otežan pristup lokaciji pošto zadnjih 10m nema puta potrebno provjeriti kako prići. Na lokaciji poseban ormar za napajanje uređaja za prenos. </t>
    </r>
    <r>
      <rPr>
        <b/>
        <sz val="10.5"/>
        <color rgb="FFFF0000"/>
        <rFont val="Arial"/>
        <family val="2"/>
        <charset val="238"/>
      </rPr>
      <t>UVRSTENO U IP</t>
    </r>
  </si>
  <si>
    <t>BS Zavidovići (Klek)</t>
  </si>
  <si>
    <t>9 BS i 2 FTTC</t>
  </si>
  <si>
    <t>možda ne treba</t>
  </si>
  <si>
    <r>
      <t xml:space="preserve">Treba pomjeriti ogradu , naše zemlje ima 100 m2 , al ne koristimo toliko i treba stopu za agregat uraditi. </t>
    </r>
    <r>
      <rPr>
        <b/>
        <sz val="10.5"/>
        <color rgb="FFFF0000"/>
        <rFont val="Arial"/>
        <family val="2"/>
        <charset val="238"/>
      </rPr>
      <t>UVRSTENO U IP</t>
    </r>
  </si>
  <si>
    <t>BS Kulen Vakuf</t>
  </si>
  <si>
    <t>4xBS+1xFTTC+1xVK</t>
  </si>
  <si>
    <t>Dodatni ispravljački sistem/nove baterije</t>
  </si>
  <si>
    <t>Ima li fizički prostor za montažu dodatnog ispravljača</t>
  </si>
  <si>
    <t xml:space="preserve">BS Gložin </t>
  </si>
  <si>
    <t>Planirati će se ugradnja dodatnog sistema/baterija</t>
  </si>
  <si>
    <t>Popovi</t>
  </si>
  <si>
    <t>Objekat pored Drine, kontejner na temeljima visokim cca 1m, zbog eventualne poplave, 2024. godine zamijenjene baterije 16 kom 420Ah kapacitet, Bening 56A, nema mogućnosti distribucije samo za prenos, razmotriti dodatni mali ispravljač samo za RR.</t>
  </si>
  <si>
    <t>Bukvik</t>
  </si>
  <si>
    <t>5BS</t>
  </si>
  <si>
    <t>ZAVRŠENO</t>
  </si>
  <si>
    <t>2022. Lokacija delegirana od strane prenosa za agregat, DC Brčko u lokacijskim uslovima traži saglasnost okolnih susjeda za instalaciju agregata,  vlasnik parcele tražio 6000KM za saglasnost, odustalo se od agregata, te je montiran dodatni ispravljački sistem samo za RR , uvezan u IP daljinski nadzor, baterije drže preko 12 sati, eventualno povećati autonomiju baterija ispravljača za RR</t>
  </si>
  <si>
    <t>Kula Grad</t>
  </si>
  <si>
    <t>na lokaciji ispraljački sistem Benning bez mogućnosti dodatne distribucije samo za prenos, baterije nisu u dobrom stanju, prijedlog dodatni ispravljački sistem samo za RR</t>
  </si>
  <si>
    <t>BS Velika Kladuša</t>
  </si>
  <si>
    <t>2xBS+3xGIA</t>
  </si>
  <si>
    <t>NE, nema prostora</t>
  </si>
  <si>
    <t>Baterije zamijenjene 2024. Potrebno izmjestiti RRU izvan kontejnera jer njihovo zagrijavanje narušava pouzdanost. Upitan prostor u kontejneru. da li ići na varijantu zamjene vane i ugradnje dodatne podnaponske za prenos na BS Maljevac..</t>
  </si>
  <si>
    <t>BS Kozara</t>
  </si>
  <si>
    <t>4xBS+1xGIA</t>
  </si>
  <si>
    <t>DA/NE, obzirom da postojeći ispravljački sistem ima dvije upravljive podnaponske sklopke</t>
  </si>
  <si>
    <t>Ugrađena dodatna podnaponska za prenos u toku 2024.. Na lokaciji 2x100Ah moguće dodati još 2 seta baterija.</t>
  </si>
  <si>
    <t>BS Urije</t>
  </si>
  <si>
    <t>5xBS+1xVK+(MPLS prsten)</t>
  </si>
  <si>
    <t>Ugrađena dodatna podnaponska za prenos u toku 2024. godine. Baterije 2016.god., planirati će se za zamjenu.</t>
  </si>
  <si>
    <t>BS Kobilja glava</t>
  </si>
  <si>
    <t>4 BS, 1 MPLS link</t>
  </si>
  <si>
    <t>da, biće završeno.</t>
  </si>
  <si>
    <t>Zamijenjene baterije u toku 2024. godine. Dodatni ispravljački sistem već obezbijeđen. Montirati će dodatni ispravljač za prenos kada se poprave vremenski uslovi.</t>
  </si>
  <si>
    <t>BS Ivankovića Dolac</t>
  </si>
  <si>
    <t>da</t>
  </si>
  <si>
    <t>Planirati će se dodatni ispravljač za prenos ili izvršiti rekonstrukcija ispravljačkog sistema sa sekcioniranom distribucijom sa dvije upravljive podnaponske sklopke</t>
  </si>
  <si>
    <t>BS Varda</t>
  </si>
  <si>
    <t>3 BS, 1 MPLS uređaj</t>
  </si>
  <si>
    <t>Nemoguće je fizički postaviti agregat jer je kontejner na platformi radi poplava.</t>
  </si>
  <si>
    <t>BS Gudelj</t>
  </si>
  <si>
    <t>6 RR veza za BS i FTTx lokacije</t>
  </si>
  <si>
    <t>RR čvorište koja su prepoznata za potencijalnu zamjenu baterija</t>
  </si>
  <si>
    <t>BS Jahorina</t>
  </si>
  <si>
    <t>5 RR veza</t>
  </si>
  <si>
    <t>BS Zminjac</t>
  </si>
  <si>
    <t xml:space="preserve">6 RR veza </t>
  </si>
  <si>
    <t>BS Čelina</t>
  </si>
  <si>
    <t>4 RR veze</t>
  </si>
  <si>
    <t>RRst Mojmilo</t>
  </si>
  <si>
    <t>13 RR veza</t>
  </si>
  <si>
    <t>BS Malešići</t>
  </si>
  <si>
    <t>7 RR veza</t>
  </si>
  <si>
    <t>BS Azići</t>
  </si>
  <si>
    <t>8 RR veza</t>
  </si>
  <si>
    <t>BS Zvijezda</t>
  </si>
  <si>
    <t>3 BS (veliko područje Vareša)</t>
  </si>
  <si>
    <t>BS Gornja Breza</t>
  </si>
  <si>
    <t>4 BS i 3 FTTx</t>
  </si>
  <si>
    <t>BS Plandište Kakanj</t>
  </si>
  <si>
    <t>7 BS i 2 FTTx</t>
  </si>
  <si>
    <t>BS Krš Vozuća Zavidovići</t>
  </si>
  <si>
    <t>4 BS i 1 FTTx</t>
  </si>
  <si>
    <t>BS Kamenitovac Žepče</t>
  </si>
  <si>
    <t>7 BS i 1 FTTx 2VK i TC Šop</t>
  </si>
  <si>
    <t>BS Paklenica Tešanj</t>
  </si>
  <si>
    <t>5 BS i 1 FTTx</t>
  </si>
  <si>
    <t xml:space="preserve">BS Borike </t>
  </si>
  <si>
    <t>4 BS</t>
  </si>
  <si>
    <t>BS Urkuni</t>
  </si>
  <si>
    <t>Trnjaci</t>
  </si>
  <si>
    <t>5 BS</t>
  </si>
  <si>
    <t>da/NE, obzirom da postojeći ispravljački sistem ima dvije upravljive podnaponske sklopke</t>
  </si>
  <si>
    <t>Na lokaciji 2024. godine zamjenjen kompletan ispravljački sistem sa 16 blokova baterija kapaciteta 420Ah, Eaton ispravljač sa dvije podnaponske , druga podnaponska samo za  RR , lokacija uvezana u IP daljinski nadzor</t>
  </si>
  <si>
    <t>Vlasenica</t>
  </si>
  <si>
    <t>IPMPLS, 4BS</t>
  </si>
  <si>
    <t>BS Rodoč</t>
  </si>
  <si>
    <t>1 MPLS, 6 BS, 1 DSLAM, 1 W3P, 4 VK, 2 MPLS linka</t>
  </si>
  <si>
    <r>
      <t xml:space="preserve">Gradska zona, blizu TKC-a i </t>
    </r>
    <r>
      <rPr>
        <b/>
        <sz val="10.5"/>
        <color rgb="FF000000"/>
        <rFont val="Arial"/>
        <family val="2"/>
        <charset val="238"/>
      </rPr>
      <t>biće pokrivano mobilnim agregatom</t>
    </r>
    <r>
      <rPr>
        <sz val="10.5"/>
        <color rgb="FF000000"/>
        <rFont val="Arial"/>
        <family val="2"/>
        <charset val="238"/>
      </rPr>
      <t>. Zamijenjene baterije u toku 2024. godine.</t>
    </r>
  </si>
  <si>
    <t>BS Šurmanci</t>
  </si>
  <si>
    <t>4 BS, 1 W3P</t>
  </si>
  <si>
    <t>BS Visa</t>
  </si>
  <si>
    <t>3 RR veze</t>
  </si>
  <si>
    <t>Dejčići</t>
  </si>
  <si>
    <t>2 RR veze</t>
  </si>
  <si>
    <t>BS Ravne</t>
  </si>
  <si>
    <t>BS Kamensko Zavidovići</t>
  </si>
  <si>
    <t>2 BS i 1 FTTx</t>
  </si>
  <si>
    <t>BS Goliješnica Žepče</t>
  </si>
  <si>
    <t>3 BS i 1 VK</t>
  </si>
  <si>
    <t xml:space="preserve">BS Subašići Jelah </t>
  </si>
  <si>
    <t>4 BS i 2 FTTx i 2 VK</t>
  </si>
  <si>
    <t>BS Pridjel Doboj</t>
  </si>
  <si>
    <t>3 BS i 1 FTTx i 1 VK</t>
  </si>
  <si>
    <t>BS Makljenovac Doboj</t>
  </si>
  <si>
    <t>BS Dušanovo Laktaši</t>
  </si>
  <si>
    <t>BS Liskovac Gradiška</t>
  </si>
  <si>
    <t>BS Rovine Gradiška</t>
  </si>
  <si>
    <t>BS Buletić Teslić</t>
  </si>
  <si>
    <t xml:space="preserve">5 BS </t>
  </si>
  <si>
    <t>BS Borja</t>
  </si>
  <si>
    <t xml:space="preserve">3 BS </t>
  </si>
  <si>
    <t>BS LENDIĆI - postoji dodatni ispravljač, loše baterije</t>
  </si>
  <si>
    <t>ATN950D_PE_LENDICI
4BS RR LINKOVIMA, ZAŠTITNI RR LINK, W3P, 3DSLAM UREĐAJA</t>
  </si>
  <si>
    <r>
      <rPr>
        <b/>
        <sz val="10.5"/>
        <color theme="0"/>
        <rFont val="Arial"/>
        <family val="2"/>
        <charset val="238"/>
      </rPr>
      <t>Postoji poseban ispravljač za prenos,</t>
    </r>
    <r>
      <rPr>
        <sz val="10.5"/>
        <color theme="0"/>
        <rFont val="Arial"/>
        <family val="2"/>
        <charset val="238"/>
      </rPr>
      <t xml:space="preserve"> baterije planirane za zamjenu.</t>
    </r>
  </si>
  <si>
    <t>BS FOJNIČKE STAJE - postoji dodatni ispravljač, pojačati baterije</t>
  </si>
  <si>
    <t>3BS RR LINKOVIMA</t>
  </si>
  <si>
    <r>
      <rPr>
        <b/>
        <sz val="10.5"/>
        <color theme="0"/>
        <rFont val="Arial"/>
        <family val="2"/>
        <charset val="238"/>
      </rPr>
      <t>Postoji  poseban ispravljač za prenos</t>
    </r>
    <r>
      <rPr>
        <sz val="10.5"/>
        <color theme="0"/>
        <rFont val="Arial"/>
        <family val="2"/>
        <charset val="238"/>
      </rPr>
      <t>, baterije zamijenjene u 10 mjesecu 2024.godine</t>
    </r>
  </si>
  <si>
    <t>BS BANDERA - postoji dodatni ispravljač, pojačat baterije</t>
  </si>
  <si>
    <t>2 BS I DSLAM DUSINA</t>
  </si>
  <si>
    <r>
      <rPr>
        <b/>
        <sz val="10.5"/>
        <color theme="0"/>
        <rFont val="Arial"/>
        <family val="2"/>
        <charset val="238"/>
      </rPr>
      <t>Postoji  poseban ispravljač za prenos</t>
    </r>
    <r>
      <rPr>
        <sz val="10.5"/>
        <color theme="0"/>
        <rFont val="Arial"/>
        <family val="2"/>
        <charset val="238"/>
      </rPr>
      <t>, baterije planirane za zamjenu</t>
    </r>
  </si>
  <si>
    <t>BS BILALOVAC - postoji dodatni ispravljač, pojačat baterije</t>
  </si>
  <si>
    <t>uplink RR-om za ASR920_PE_CUBREN, 3BS RR LINKOVIMA I DSLAM DUSINA</t>
  </si>
  <si>
    <r>
      <rPr>
        <b/>
        <sz val="10.5"/>
        <color theme="0"/>
        <rFont val="Arial"/>
        <family val="2"/>
        <charset val="238"/>
      </rPr>
      <t xml:space="preserve">Postoji  poseban ispravljač za prenos, </t>
    </r>
    <r>
      <rPr>
        <sz val="10.5"/>
        <color theme="0"/>
        <rFont val="Arial"/>
        <family val="2"/>
        <charset val="238"/>
      </rPr>
      <t>baterije zamijenjene u 12 mjesecu 2024.godine</t>
    </r>
  </si>
  <si>
    <t>BS VUČKOVAC - postoji dodatni ispravljač, pojačat baterije</t>
  </si>
  <si>
    <t>4BS RR LINKOVIMA</t>
  </si>
  <si>
    <r>
      <rPr>
        <b/>
        <sz val="10.5"/>
        <color theme="0"/>
        <rFont val="Arial"/>
        <family val="2"/>
        <charset val="238"/>
      </rPr>
      <t>Postoji  poseban ispravljač za prenos,</t>
    </r>
    <r>
      <rPr>
        <sz val="10.5"/>
        <color theme="0"/>
        <rFont val="Arial"/>
        <family val="2"/>
        <charset val="238"/>
      </rPr>
      <t xml:space="preserve"> baterije zamijenjene u 7 mjesecu 2024.godine</t>
    </r>
  </si>
  <si>
    <t>BS BABANOVAC BRDO - postoji dodatni ispravljač - provjeriti baterije</t>
  </si>
  <si>
    <t>5BS RR LINKOVIMA (2 DIREKTNO, 3 KASKADNO)</t>
  </si>
  <si>
    <r>
      <rPr>
        <b/>
        <sz val="10.5"/>
        <color theme="0"/>
        <rFont val="Arial"/>
        <family val="2"/>
        <charset val="238"/>
      </rPr>
      <t>Postoji  poseban ispravljač za prenos,</t>
    </r>
    <r>
      <rPr>
        <sz val="10.5"/>
        <color theme="0"/>
        <rFont val="Arial"/>
        <family val="2"/>
        <charset val="238"/>
      </rPr>
      <t xml:space="preserve"> baterije zamijenjene u 10 mjesecu 2024.godine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</si>
</sst>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charset val="238"/>
      <scheme val="minor"/>
    </font>
    <font>
      <sz val="9"/>
      <color indexed="81"/>
      <name val="Tahoma"/>
      <family val="2"/>
      <charset val="238"/>
    </font>
    <font>
      <b/>
      <sz val="9"/>
      <color indexed="81"/>
      <name val="Tahoma"/>
      <family val="2"/>
      <charset val="238"/>
    </font>
    <font>
      <sz val="10.5"/>
      <color theme="1"/>
      <name val="Arial"/>
      <family val="2"/>
      <charset val="238"/>
    </font>
    <font>
      <b/>
      <sz val="10.5"/>
      <color rgb="FFFF0000"/>
      <name val="Arial"/>
      <family val="2"/>
      <charset val="238"/>
    </font>
    <font>
      <sz val="10.5"/>
      <color rgb="FF000000"/>
      <name val="Arial"/>
      <family val="2"/>
      <charset val="238"/>
    </font>
    <font>
      <b/>
      <sz val="10.5"/>
      <color rgb="FF000000"/>
      <name val="Arial"/>
      <family val="2"/>
      <charset val="238"/>
    </font>
    <font>
      <sz val="10.5"/>
      <color theme="0"/>
      <name val="Arial"/>
      <family val="2"/>
      <charset val="238"/>
    </font>
    <font>
      <b/>
      <sz val="10.5"/>
      <color theme="0"/>
      <name val="Arial"/>
      <family val="2"/>
      <charset val="238"/>
    </font>
    <font>
      <b/>
      <sz val="10.5"/>
      <color theme="1"/>
      <name val="Arial"/>
      <family val="2"/>
      <charset val="238"/>
    </font>
    <font>
      <sz val="10.5"/>
      <color rgb="FFC00000"/>
      <name val="Arial"/>
      <family val="2"/>
      <charset val="238"/>
    </font>
    <font>
      <b/>
      <sz val="10.5"/>
      <name val="Arial"/>
      <family val="2"/>
      <charset val="238"/>
    </font>
    <font>
      <sz val="10.5"/>
      <color rgb="FF242424"/>
      <name val="Arial"/>
      <family val="2"/>
      <charset val="238"/>
    </font>
    <font>
      <sz val="11"/>
      <color theme="1"/>
      <name val="Aptos Narrow"/>
      <charset val="238"/>
    </font>
    <font>
      <sz val="11"/>
      <name val="Aptos Narrow"/>
      <charset val="238"/>
    </font>
    <font>
      <sz val="11"/>
      <color rgb="FFFF0000"/>
      <name val="Aptos Narrow"/>
      <charset val="238"/>
    </font>
    <font>
      <sz val="11"/>
      <color rgb="FF000000"/>
      <name val="Aptos Narrow"/>
      <charset val="238"/>
    </font>
    <font>
      <b/>
      <sz val="11"/>
      <color rgb="FF000000"/>
      <name val="Aptos Narrow"/>
      <charset val="238"/>
    </font>
    <font>
      <b/>
      <sz val="11"/>
      <color rgb="FFFF0000"/>
      <name val="Aptos Narrow"/>
      <charset val="238"/>
    </font>
    <font>
      <sz val="11"/>
      <color theme="0"/>
      <name val="Aptos Narrow"/>
      <charset val="238"/>
    </font>
    <font>
      <b/>
      <sz val="11"/>
      <name val="Aptos Narrow"/>
      <charset val="238"/>
    </font>
    <font>
      <b/>
      <sz val="11"/>
      <color theme="0"/>
      <name val="Aptos Narrow"/>
      <charset val="238"/>
    </font>
    <font>
      <sz val="11"/>
      <color rgb="FF242424"/>
      <name val="Aptos Narrow"/>
      <charset val="1"/>
    </font>
    <font>
      <sz val="11"/>
      <color rgb="FFFF0000"/>
      <name val="Aptos Narrow"/>
    </font>
    <font>
      <sz val="11"/>
      <color rgb="FF000000"/>
      <name val="Aptos Narrow"/>
    </font>
    <font>
      <sz val="11"/>
      <name val="Aptos Narrow"/>
    </font>
    <font>
      <b/>
      <sz val="11"/>
      <color rgb="FFFF0000"/>
      <name val="Aptos Narrow"/>
    </font>
    <font>
      <sz val="11"/>
      <color theme="1"/>
      <name val="Aptos Narrow"/>
    </font>
    <font>
      <i/>
      <sz val="11"/>
      <color theme="5" tint="-0.499984740745262"/>
      <name val="Aptos Narrow"/>
      <charset val="238"/>
    </font>
  </fonts>
  <fills count="19">
    <fill>
      <patternFill patternType="none"/>
    </fill>
    <fill>
      <patternFill patternType="gray125"/>
    </fill>
    <fill>
      <patternFill patternType="solid">
        <fgColor theme="7" tint="0.79998168889431442"/>
        <bgColor indexed="64"/>
      </patternFill>
    </fill>
    <fill>
      <patternFill patternType="solid">
        <fgColor theme="4" tint="0.59999389629810485"/>
        <bgColor indexed="64"/>
      </patternFill>
    </fill>
    <fill>
      <patternFill patternType="solid">
        <fgColor rgb="FF92D050"/>
        <bgColor indexed="64"/>
      </patternFill>
    </fill>
    <fill>
      <patternFill patternType="solid">
        <fgColor rgb="FFBAC5E4"/>
        <bgColor indexed="64"/>
      </patternFill>
    </fill>
    <fill>
      <patternFill patternType="solid">
        <fgColor rgb="FF00B0F0"/>
        <bgColor indexed="64"/>
      </patternFill>
    </fill>
    <fill>
      <patternFill patternType="solid">
        <fgColor theme="2" tint="-0.249977111117893"/>
        <bgColor indexed="64"/>
      </patternFill>
    </fill>
    <fill>
      <patternFill patternType="solid">
        <fgColor rgb="FFFFFFCC"/>
        <bgColor indexed="64"/>
      </patternFill>
    </fill>
    <fill>
      <patternFill patternType="solid">
        <fgColor rgb="FF0070C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4"/>
        <bgColor indexed="64"/>
      </patternFill>
    </fill>
    <fill>
      <patternFill patternType="solid">
        <fgColor theme="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6">
    <xf numFmtId="0" fontId="0" fillId="0" borderId="0" xfId="0"/>
    <xf numFmtId="0" fontId="3" fillId="0" borderId="0" xfId="0" applyFont="1"/>
    <xf numFmtId="0" fontId="7" fillId="9" borderId="1" xfId="0" applyFont="1" applyFill="1" applyBorder="1" applyAlignment="1">
      <alignment horizontal="center" vertical="center"/>
    </xf>
    <xf numFmtId="0" fontId="3" fillId="0" borderId="0" xfId="0" applyFont="1" applyAlignment="1">
      <alignment horizontal="center" vertical="center"/>
    </xf>
    <xf numFmtId="0" fontId="9" fillId="10" borderId="6" xfId="0" applyFont="1" applyFill="1" applyBorder="1" applyAlignment="1">
      <alignment horizontal="center" vertical="center" wrapText="1"/>
    </xf>
    <xf numFmtId="0" fontId="9" fillId="6" borderId="0" xfId="0" applyFont="1" applyFill="1" applyAlignment="1">
      <alignment horizontal="center" vertical="center"/>
    </xf>
    <xf numFmtId="0" fontId="3" fillId="0" borderId="0" xfId="0" applyFont="1" applyAlignment="1">
      <alignment vertical="center"/>
    </xf>
    <xf numFmtId="0" fontId="3" fillId="10" borderId="6" xfId="0" applyFont="1" applyFill="1" applyBorder="1" applyAlignment="1">
      <alignment horizontal="center" vertical="center" wrapText="1"/>
    </xf>
    <xf numFmtId="0" fontId="3" fillId="10" borderId="5" xfId="0" applyFont="1" applyFill="1" applyBorder="1" applyAlignment="1">
      <alignment horizontal="center" vertical="center" wrapText="1"/>
    </xf>
    <xf numFmtId="0" fontId="3" fillId="10" borderId="0" xfId="0" applyFont="1" applyFill="1" applyAlignment="1">
      <alignment horizontal="center" vertical="center" wrapText="1"/>
    </xf>
    <xf numFmtId="0" fontId="9" fillId="11" borderId="1" xfId="0" applyFont="1" applyFill="1" applyBorder="1" applyAlignment="1">
      <alignment horizontal="center" vertical="center"/>
    </xf>
    <xf numFmtId="0" fontId="6" fillId="11" borderId="1" xfId="0" applyFont="1" applyFill="1" applyBorder="1" applyAlignment="1">
      <alignment horizontal="left" vertical="center"/>
    </xf>
    <xf numFmtId="0" fontId="6" fillId="11" borderId="1" xfId="0" applyFont="1" applyFill="1" applyBorder="1" applyAlignment="1">
      <alignment horizontal="left" vertical="center" wrapText="1"/>
    </xf>
    <xf numFmtId="0" fontId="6" fillId="11" borderId="1" xfId="0" applyFont="1" applyFill="1" applyBorder="1" applyAlignment="1">
      <alignment horizontal="center" vertical="center"/>
    </xf>
    <xf numFmtId="0" fontId="3" fillId="0" borderId="1" xfId="0" applyFont="1" applyBorder="1" applyAlignment="1">
      <alignment vertical="center"/>
    </xf>
    <xf numFmtId="0" fontId="3" fillId="11" borderId="1" xfId="0" applyFont="1" applyFill="1" applyBorder="1" applyAlignment="1">
      <alignment horizontal="center" vertical="center"/>
    </xf>
    <xf numFmtId="0" fontId="3" fillId="11" borderId="1" xfId="0" applyFont="1" applyFill="1" applyBorder="1" applyAlignment="1">
      <alignment horizontal="center" vertical="center" wrapText="1"/>
    </xf>
    <xf numFmtId="0" fontId="3" fillId="11" borderId="2" xfId="0" applyFont="1" applyFill="1" applyBorder="1" applyAlignment="1">
      <alignment vertical="center" wrapText="1"/>
    </xf>
    <xf numFmtId="0" fontId="6" fillId="11" borderId="1" xfId="0" applyFont="1" applyFill="1" applyBorder="1" applyAlignment="1">
      <alignment vertical="center"/>
    </xf>
    <xf numFmtId="0" fontId="6" fillId="11" borderId="1" xfId="0" applyFont="1" applyFill="1" applyBorder="1" applyAlignment="1">
      <alignment vertical="center" wrapText="1"/>
    </xf>
    <xf numFmtId="0" fontId="6" fillId="11" borderId="1" xfId="0" applyFont="1" applyFill="1" applyBorder="1" applyAlignment="1">
      <alignment horizontal="center" vertical="center" wrapText="1"/>
    </xf>
    <xf numFmtId="0" fontId="9" fillId="11" borderId="1" xfId="0" applyFont="1" applyFill="1" applyBorder="1" applyAlignment="1">
      <alignment vertical="center"/>
    </xf>
    <xf numFmtId="0" fontId="3" fillId="11" borderId="2" xfId="0" applyFont="1" applyFill="1" applyBorder="1" applyAlignment="1">
      <alignment vertical="center"/>
    </xf>
    <xf numFmtId="0" fontId="3" fillId="0" borderId="3" xfId="0" applyFont="1" applyBorder="1"/>
    <xf numFmtId="0" fontId="8" fillId="9" borderId="1" xfId="0" applyFont="1" applyFill="1" applyBorder="1" applyAlignment="1">
      <alignment horizontal="center" vertical="center"/>
    </xf>
    <xf numFmtId="0" fontId="8" fillId="9" borderId="1" xfId="0" applyFont="1" applyFill="1" applyBorder="1" applyAlignment="1">
      <alignment vertical="center"/>
    </xf>
    <xf numFmtId="0" fontId="8" fillId="9" borderId="1" xfId="0" applyFont="1" applyFill="1" applyBorder="1" applyAlignment="1">
      <alignment horizontal="center" vertical="center" wrapText="1"/>
    </xf>
    <xf numFmtId="0" fontId="7" fillId="9" borderId="1" xfId="0" applyFont="1" applyFill="1" applyBorder="1" applyAlignment="1">
      <alignment vertical="center"/>
    </xf>
    <xf numFmtId="0" fontId="7" fillId="9" borderId="2" xfId="0" applyFont="1" applyFill="1" applyBorder="1" applyAlignment="1">
      <alignment vertical="center" wrapText="1"/>
    </xf>
    <xf numFmtId="0" fontId="3" fillId="11" borderId="1" xfId="0" applyFont="1" applyFill="1" applyBorder="1" applyAlignment="1">
      <alignment vertical="center"/>
    </xf>
    <xf numFmtId="0" fontId="3" fillId="11" borderId="1" xfId="0" applyFont="1" applyFill="1" applyBorder="1" applyAlignment="1">
      <alignment vertical="center" wrapText="1"/>
    </xf>
    <xf numFmtId="0" fontId="3" fillId="11" borderId="6" xfId="0" applyFont="1" applyFill="1" applyBorder="1" applyAlignment="1">
      <alignment horizontal="center" vertical="center"/>
    </xf>
    <xf numFmtId="0" fontId="3" fillId="11" borderId="6" xfId="0" applyFont="1" applyFill="1" applyBorder="1" applyAlignment="1">
      <alignment vertical="center" wrapText="1"/>
    </xf>
    <xf numFmtId="0" fontId="9" fillId="11" borderId="1" xfId="0" applyFont="1" applyFill="1" applyBorder="1" applyAlignment="1">
      <alignment vertical="center" wrapText="1"/>
    </xf>
    <xf numFmtId="0" fontId="9" fillId="12" borderId="1" xfId="0" applyFont="1" applyFill="1" applyBorder="1" applyAlignment="1">
      <alignment horizontal="center" vertical="center"/>
    </xf>
    <xf numFmtId="0" fontId="6" fillId="12" borderId="1" xfId="0" applyFont="1" applyFill="1" applyBorder="1" applyAlignment="1">
      <alignment horizontal="left" vertical="center"/>
    </xf>
    <xf numFmtId="0" fontId="6" fillId="12" borderId="1" xfId="0" applyFont="1" applyFill="1" applyBorder="1" applyAlignment="1">
      <alignment horizontal="left" vertical="center" wrapText="1"/>
    </xf>
    <xf numFmtId="0" fontId="6" fillId="12" borderId="1" xfId="0" applyFont="1" applyFill="1" applyBorder="1" applyAlignment="1">
      <alignment horizontal="center" vertical="center" wrapText="1"/>
    </xf>
    <xf numFmtId="0" fontId="3" fillId="12" borderId="1" xfId="0" applyFont="1" applyFill="1" applyBorder="1" applyAlignment="1">
      <alignment horizontal="center" vertical="center"/>
    </xf>
    <xf numFmtId="0" fontId="3" fillId="12" borderId="1" xfId="0" applyFont="1" applyFill="1" applyBorder="1" applyAlignment="1">
      <alignment vertical="center" wrapText="1"/>
    </xf>
    <xf numFmtId="0" fontId="6" fillId="12" borderId="1" xfId="0" applyFont="1" applyFill="1" applyBorder="1" applyAlignment="1">
      <alignment vertical="center"/>
    </xf>
    <xf numFmtId="0" fontId="6" fillId="12" borderId="1" xfId="0" applyFont="1" applyFill="1" applyBorder="1" applyAlignment="1">
      <alignment vertical="center" wrapText="1"/>
    </xf>
    <xf numFmtId="0" fontId="9" fillId="12" borderId="1" xfId="0" applyFont="1" applyFill="1" applyBorder="1" applyAlignment="1">
      <alignment vertical="center"/>
    </xf>
    <xf numFmtId="0" fontId="6" fillId="12" borderId="1" xfId="0" applyFont="1" applyFill="1" applyBorder="1" applyAlignment="1">
      <alignment horizontal="center" vertical="center"/>
    </xf>
    <xf numFmtId="0" fontId="3" fillId="12" borderId="1" xfId="0" applyFont="1" applyFill="1" applyBorder="1" applyAlignment="1">
      <alignment vertical="center"/>
    </xf>
    <xf numFmtId="0" fontId="7" fillId="0" borderId="1" xfId="0" applyFont="1" applyBorder="1" applyAlignment="1">
      <alignment vertical="center"/>
    </xf>
    <xf numFmtId="0" fontId="7" fillId="9" borderId="1" xfId="0" applyFont="1" applyFill="1" applyBorder="1" applyAlignment="1">
      <alignment horizontal="center" vertical="center" wrapText="1"/>
    </xf>
    <xf numFmtId="0" fontId="7" fillId="9" borderId="1" xfId="0" applyFont="1" applyFill="1" applyBorder="1" applyAlignment="1">
      <alignment vertical="center" wrapText="1"/>
    </xf>
    <xf numFmtId="0" fontId="9" fillId="12" borderId="4" xfId="0" applyFont="1" applyFill="1" applyBorder="1" applyAlignment="1">
      <alignment horizontal="center" vertical="center"/>
    </xf>
    <xf numFmtId="0" fontId="9" fillId="12" borderId="4" xfId="0" applyFont="1" applyFill="1" applyBorder="1" applyAlignment="1">
      <alignment vertical="center"/>
    </xf>
    <xf numFmtId="0" fontId="9" fillId="12" borderId="8" xfId="0" applyFont="1" applyFill="1" applyBorder="1" applyAlignment="1">
      <alignment vertical="center"/>
    </xf>
    <xf numFmtId="0" fontId="3" fillId="12" borderId="4" xfId="0" applyFont="1" applyFill="1" applyBorder="1" applyAlignment="1">
      <alignment horizontal="center" vertical="center"/>
    </xf>
    <xf numFmtId="0" fontId="3" fillId="12" borderId="4" xfId="0" applyFont="1" applyFill="1" applyBorder="1" applyAlignment="1">
      <alignment vertical="center" wrapText="1"/>
    </xf>
    <xf numFmtId="0" fontId="9" fillId="13" borderId="1" xfId="0" applyFont="1" applyFill="1" applyBorder="1" applyAlignment="1">
      <alignment horizontal="center" vertical="center"/>
    </xf>
    <xf numFmtId="0" fontId="9" fillId="13" borderId="1" xfId="0" applyFont="1" applyFill="1" applyBorder="1" applyAlignment="1">
      <alignment vertical="center"/>
    </xf>
    <xf numFmtId="0" fontId="6" fillId="13" borderId="1" xfId="0" applyFont="1" applyFill="1" applyBorder="1" applyAlignment="1">
      <alignment horizontal="center" vertical="center"/>
    </xf>
    <xf numFmtId="0" fontId="3" fillId="13" borderId="1" xfId="0" applyFont="1" applyFill="1" applyBorder="1" applyAlignment="1">
      <alignment horizontal="center" vertical="center"/>
    </xf>
    <xf numFmtId="0" fontId="3" fillId="13" borderId="1" xfId="0" applyFont="1" applyFill="1" applyBorder="1" applyAlignment="1">
      <alignment horizontal="center" vertical="center" wrapText="1"/>
    </xf>
    <xf numFmtId="0" fontId="3" fillId="13" borderId="1" xfId="0" applyFont="1" applyFill="1" applyBorder="1" applyAlignment="1">
      <alignment vertical="center" wrapText="1"/>
    </xf>
    <xf numFmtId="0" fontId="9" fillId="13" borderId="4" xfId="0" applyFont="1" applyFill="1" applyBorder="1" applyAlignment="1">
      <alignment horizontal="center" vertical="center"/>
    </xf>
    <xf numFmtId="0" fontId="9" fillId="13" borderId="4" xfId="0" applyFont="1" applyFill="1" applyBorder="1" applyAlignment="1">
      <alignment vertical="center"/>
    </xf>
    <xf numFmtId="0" fontId="9" fillId="13" borderId="8" xfId="0" applyFont="1" applyFill="1" applyBorder="1" applyAlignment="1">
      <alignment vertical="center"/>
    </xf>
    <xf numFmtId="0" fontId="3" fillId="13" borderId="4" xfId="0" applyFont="1" applyFill="1" applyBorder="1" applyAlignment="1">
      <alignment horizontal="center" vertical="center"/>
    </xf>
    <xf numFmtId="0" fontId="3" fillId="13" borderId="4" xfId="0" applyFont="1" applyFill="1" applyBorder="1" applyAlignment="1">
      <alignment vertical="center" wrapText="1"/>
    </xf>
    <xf numFmtId="0" fontId="9" fillId="0" borderId="0" xfId="0" applyFont="1" applyAlignment="1">
      <alignment horizontal="center" vertical="center"/>
    </xf>
    <xf numFmtId="0" fontId="9" fillId="3" borderId="6" xfId="0" applyFont="1" applyFill="1" applyBorder="1" applyAlignment="1">
      <alignment horizontal="center" vertical="center" wrapText="1"/>
    </xf>
    <xf numFmtId="0" fontId="9" fillId="6" borderId="1" xfId="0" applyFont="1" applyFill="1" applyBorder="1" applyAlignment="1">
      <alignment horizontal="center" vertical="center"/>
    </xf>
    <xf numFmtId="0" fontId="3" fillId="5" borderId="7" xfId="0" applyFont="1" applyFill="1" applyBorder="1" applyAlignment="1">
      <alignment horizontal="center" vertical="center" wrapText="1"/>
    </xf>
    <xf numFmtId="0" fontId="9" fillId="14" borderId="1" xfId="0" applyFont="1" applyFill="1" applyBorder="1" applyAlignment="1">
      <alignment horizontal="center" vertical="center"/>
    </xf>
    <xf numFmtId="0" fontId="11" fillId="14" borderId="1" xfId="0" applyFont="1" applyFill="1" applyBorder="1" applyAlignment="1">
      <alignment horizontal="left" vertical="center"/>
    </xf>
    <xf numFmtId="0" fontId="9" fillId="0" borderId="1" xfId="0" applyFont="1" applyBorder="1" applyAlignment="1">
      <alignment horizontal="center" vertical="center"/>
    </xf>
    <xf numFmtId="0" fontId="3" fillId="14" borderId="1" xfId="0" applyFont="1" applyFill="1" applyBorder="1" applyAlignment="1">
      <alignment horizontal="center" vertical="center" wrapText="1"/>
    </xf>
    <xf numFmtId="0" fontId="3" fillId="14" borderId="1" xfId="0" applyFont="1" applyFill="1" applyBorder="1" applyAlignment="1">
      <alignment horizontal="center" vertical="center"/>
    </xf>
    <xf numFmtId="0" fontId="3" fillId="14" borderId="1" xfId="0" applyFont="1" applyFill="1" applyBorder="1" applyAlignment="1">
      <alignment vertical="center"/>
    </xf>
    <xf numFmtId="0" fontId="9" fillId="14" borderId="1" xfId="0" applyFont="1" applyFill="1" applyBorder="1" applyAlignment="1">
      <alignment vertical="center"/>
    </xf>
    <xf numFmtId="0" fontId="9" fillId="14" borderId="1" xfId="0" applyFont="1" applyFill="1" applyBorder="1" applyAlignment="1">
      <alignment horizontal="left" vertical="center"/>
    </xf>
    <xf numFmtId="0" fontId="5" fillId="14" borderId="1" xfId="0" applyFont="1" applyFill="1" applyBorder="1" applyAlignment="1">
      <alignment vertical="center" wrapText="1"/>
    </xf>
    <xf numFmtId="0" fontId="11" fillId="14" borderId="1" xfId="0" applyFont="1" applyFill="1" applyBorder="1" applyAlignment="1">
      <alignment horizontal="center" vertical="center"/>
    </xf>
    <xf numFmtId="0" fontId="12" fillId="14" borderId="1" xfId="0" applyFont="1" applyFill="1" applyBorder="1" applyAlignment="1">
      <alignment wrapText="1"/>
    </xf>
    <xf numFmtId="0" fontId="3" fillId="14" borderId="1" xfId="0" applyFont="1" applyFill="1" applyBorder="1" applyAlignment="1">
      <alignment vertical="center" wrapText="1"/>
    </xf>
    <xf numFmtId="0" fontId="9" fillId="15" borderId="1" xfId="0" applyFont="1" applyFill="1" applyBorder="1" applyAlignment="1">
      <alignment horizontal="center" vertical="center"/>
    </xf>
    <xf numFmtId="0" fontId="11" fillId="15" borderId="1" xfId="0" applyFont="1" applyFill="1" applyBorder="1" applyAlignment="1">
      <alignment horizontal="left" vertical="center"/>
    </xf>
    <xf numFmtId="0" fontId="3" fillId="15" borderId="1" xfId="0" applyFont="1" applyFill="1" applyBorder="1" applyAlignment="1">
      <alignment horizontal="center" vertical="center" wrapText="1"/>
    </xf>
    <xf numFmtId="0" fontId="3" fillId="15" borderId="1" xfId="0" applyFont="1" applyFill="1" applyBorder="1" applyAlignment="1">
      <alignment horizontal="center" vertical="center"/>
    </xf>
    <xf numFmtId="0" fontId="3" fillId="15" borderId="1" xfId="0" applyFont="1" applyFill="1" applyBorder="1" applyAlignment="1">
      <alignment vertical="center"/>
    </xf>
    <xf numFmtId="0" fontId="9" fillId="15" borderId="1" xfId="0" applyFont="1" applyFill="1" applyBorder="1" applyAlignment="1">
      <alignment vertical="center"/>
    </xf>
    <xf numFmtId="0" fontId="9" fillId="15" borderId="1" xfId="0" applyFont="1" applyFill="1" applyBorder="1" applyAlignment="1">
      <alignment horizontal="left" vertical="center"/>
    </xf>
    <xf numFmtId="0" fontId="5" fillId="15" borderId="1" xfId="0" applyFont="1" applyFill="1" applyBorder="1" applyAlignment="1">
      <alignment vertical="center" wrapText="1"/>
    </xf>
    <xf numFmtId="0" fontId="3" fillId="15" borderId="1" xfId="0" applyFont="1" applyFill="1" applyBorder="1" applyAlignment="1">
      <alignment vertical="center" wrapText="1"/>
    </xf>
    <xf numFmtId="0" fontId="8" fillId="7" borderId="4" xfId="0" applyFont="1" applyFill="1" applyBorder="1" applyAlignment="1">
      <alignment horizontal="center" vertical="center"/>
    </xf>
    <xf numFmtId="0" fontId="8" fillId="7" borderId="4" xfId="0" applyFont="1" applyFill="1" applyBorder="1" applyAlignment="1">
      <alignment horizontal="left" vertical="center" wrapText="1"/>
    </xf>
    <xf numFmtId="0" fontId="7" fillId="7" borderId="1" xfId="0" applyFont="1" applyFill="1" applyBorder="1" applyAlignment="1">
      <alignment horizontal="center" vertical="center" wrapText="1"/>
    </xf>
    <xf numFmtId="0" fontId="8" fillId="0" borderId="1" xfId="0" applyFont="1" applyBorder="1" applyAlignment="1">
      <alignment horizontal="center" vertical="center"/>
    </xf>
    <xf numFmtId="0" fontId="7" fillId="7" borderId="4" xfId="0" applyFont="1" applyFill="1" applyBorder="1" applyAlignment="1">
      <alignment horizontal="center" vertical="center"/>
    </xf>
    <xf numFmtId="0" fontId="7" fillId="7" borderId="4" xfId="0" applyFont="1" applyFill="1" applyBorder="1" applyAlignment="1">
      <alignment vertical="center" wrapText="1"/>
    </xf>
    <xf numFmtId="0" fontId="8" fillId="7" borderId="1" xfId="0" applyFont="1" applyFill="1" applyBorder="1" applyAlignment="1">
      <alignment horizontal="center" vertical="center"/>
    </xf>
    <xf numFmtId="0" fontId="8" fillId="7" borderId="1" xfId="0" applyFont="1" applyFill="1" applyBorder="1" applyAlignment="1">
      <alignment horizontal="left" vertical="center" wrapText="1"/>
    </xf>
    <xf numFmtId="0" fontId="8" fillId="7" borderId="1" xfId="0" applyFont="1" applyFill="1" applyBorder="1" applyAlignment="1">
      <alignment horizontal="left" vertical="center"/>
    </xf>
    <xf numFmtId="0" fontId="7" fillId="7" borderId="1" xfId="0" applyFont="1" applyFill="1" applyBorder="1" applyAlignment="1">
      <alignment horizontal="center" vertical="center"/>
    </xf>
    <xf numFmtId="0" fontId="7" fillId="7" borderId="1" xfId="0" applyFont="1" applyFill="1" applyBorder="1" applyAlignment="1">
      <alignment vertical="center" wrapText="1"/>
    </xf>
    <xf numFmtId="0" fontId="8" fillId="7" borderId="1" xfId="0" applyFont="1" applyFill="1" applyBorder="1" applyAlignment="1">
      <alignment vertical="center" wrapText="1"/>
    </xf>
    <xf numFmtId="0" fontId="13" fillId="18" borderId="1" xfId="0" applyFont="1" applyFill="1" applyBorder="1" applyAlignment="1">
      <alignment horizontal="left" vertical="center" wrapText="1"/>
    </xf>
    <xf numFmtId="0" fontId="13" fillId="18" borderId="1" xfId="0" applyFont="1" applyFill="1" applyBorder="1" applyAlignment="1">
      <alignment horizontal="center" vertical="center" wrapText="1"/>
    </xf>
    <xf numFmtId="0" fontId="13" fillId="18"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18" borderId="1" xfId="0" applyFont="1" applyFill="1" applyBorder="1" applyAlignment="1">
      <alignment horizontal="center" vertical="center"/>
    </xf>
    <xf numFmtId="0" fontId="13" fillId="0" borderId="0" xfId="0" applyFont="1" applyAlignment="1">
      <alignment vertical="center"/>
    </xf>
    <xf numFmtId="0" fontId="13" fillId="2" borderId="6" xfId="0" applyFont="1" applyFill="1" applyBorder="1" applyAlignment="1">
      <alignment horizontal="left" vertical="center" wrapText="1"/>
    </xf>
    <xf numFmtId="0" fontId="13" fillId="2" borderId="6" xfId="0" applyFont="1" applyFill="1" applyBorder="1" applyAlignment="1">
      <alignment horizontal="center" vertical="center" wrapText="1"/>
    </xf>
    <xf numFmtId="0" fontId="13" fillId="18" borderId="6" xfId="0" applyFont="1" applyFill="1" applyBorder="1" applyAlignment="1">
      <alignment horizontal="center" vertical="center" wrapText="1"/>
    </xf>
    <xf numFmtId="0" fontId="13" fillId="0" borderId="0" xfId="0" applyFont="1" applyAlignment="1">
      <alignment vertical="center" wrapText="1"/>
    </xf>
    <xf numFmtId="0" fontId="13" fillId="8" borderId="1" xfId="0" applyFont="1" applyFill="1" applyBorder="1" applyAlignment="1">
      <alignment horizontal="left" vertical="top"/>
    </xf>
    <xf numFmtId="0" fontId="13" fillId="8" borderId="1" xfId="0" applyFont="1" applyFill="1" applyBorder="1" applyAlignment="1">
      <alignment vertical="top"/>
    </xf>
    <xf numFmtId="0" fontId="13" fillId="8" borderId="1" xfId="0" applyFont="1" applyFill="1" applyBorder="1" applyAlignment="1">
      <alignment horizontal="center" vertical="top"/>
    </xf>
    <xf numFmtId="0" fontId="13" fillId="16" borderId="1" xfId="0" applyFont="1" applyFill="1" applyBorder="1" applyAlignment="1">
      <alignment vertical="top" wrapText="1"/>
    </xf>
    <xf numFmtId="0" fontId="13" fillId="16" borderId="1" xfId="0" applyFont="1" applyFill="1" applyBorder="1" applyAlignment="1">
      <alignment horizontal="center" vertical="top" wrapText="1"/>
    </xf>
    <xf numFmtId="0" fontId="13" fillId="8" borderId="1" xfId="0" applyFont="1" applyFill="1" applyBorder="1" applyAlignment="1">
      <alignment horizontal="center" vertical="top" wrapText="1"/>
    </xf>
    <xf numFmtId="0" fontId="13" fillId="8" borderId="1" xfId="0" applyFont="1" applyFill="1" applyBorder="1" applyAlignment="1">
      <alignment vertical="top" wrapText="1"/>
    </xf>
    <xf numFmtId="0" fontId="13" fillId="8" borderId="1" xfId="0" applyFont="1" applyFill="1" applyBorder="1" applyAlignment="1">
      <alignment horizontal="left" vertical="top" wrapText="1"/>
    </xf>
    <xf numFmtId="0" fontId="13" fillId="0" borderId="0" xfId="0" applyFont="1" applyAlignment="1">
      <alignment vertical="top"/>
    </xf>
    <xf numFmtId="0" fontId="14" fillId="8" borderId="1" xfId="0" applyFont="1" applyFill="1" applyBorder="1" applyAlignment="1">
      <alignment vertical="top" wrapText="1"/>
    </xf>
    <xf numFmtId="0" fontId="13" fillId="14" borderId="1" xfId="0" applyFont="1" applyFill="1" applyBorder="1" applyAlignment="1">
      <alignment horizontal="left" vertical="top"/>
    </xf>
    <xf numFmtId="0" fontId="13" fillId="14" borderId="1" xfId="0" applyFont="1" applyFill="1" applyBorder="1" applyAlignment="1">
      <alignment vertical="top"/>
    </xf>
    <xf numFmtId="0" fontId="13" fillId="14" borderId="1" xfId="0" applyFont="1" applyFill="1" applyBorder="1" applyAlignment="1">
      <alignment horizontal="center" vertical="top"/>
    </xf>
    <xf numFmtId="0" fontId="13" fillId="4" borderId="1" xfId="0" applyFont="1" applyFill="1" applyBorder="1" applyAlignment="1">
      <alignment vertical="top" wrapText="1"/>
    </xf>
    <xf numFmtId="0" fontId="13" fillId="4" borderId="1" xfId="0" applyFont="1" applyFill="1" applyBorder="1" applyAlignment="1">
      <alignment horizontal="center" vertical="top" wrapText="1"/>
    </xf>
    <xf numFmtId="0" fontId="13" fillId="14" borderId="1" xfId="0" applyFont="1" applyFill="1" applyBorder="1" applyAlignment="1">
      <alignment horizontal="center" vertical="top" wrapText="1"/>
    </xf>
    <xf numFmtId="0" fontId="14" fillId="14" borderId="1" xfId="0" applyFont="1" applyFill="1" applyBorder="1" applyAlignment="1">
      <alignment vertical="top" wrapText="1"/>
    </xf>
    <xf numFmtId="0" fontId="15" fillId="8" borderId="1" xfId="0" applyFont="1" applyFill="1" applyBorder="1" applyAlignment="1">
      <alignment vertical="top" wrapText="1"/>
    </xf>
    <xf numFmtId="0" fontId="15" fillId="14" borderId="1" xfId="0" applyFont="1" applyFill="1" applyBorder="1" applyAlignment="1">
      <alignment vertical="top" wrapText="1"/>
    </xf>
    <xf numFmtId="0" fontId="16" fillId="14" borderId="1" xfId="0" applyFont="1" applyFill="1" applyBorder="1" applyAlignment="1">
      <alignment horizontal="left" vertical="top"/>
    </xf>
    <xf numFmtId="0" fontId="13" fillId="14" borderId="1" xfId="0" applyFont="1" applyFill="1" applyBorder="1" applyAlignment="1">
      <alignment vertical="top" wrapText="1"/>
    </xf>
    <xf numFmtId="0" fontId="15" fillId="14" borderId="1" xfId="0" applyFont="1" applyFill="1" applyBorder="1" applyAlignment="1">
      <alignment vertical="top"/>
    </xf>
    <xf numFmtId="0" fontId="14" fillId="8" borderId="1" xfId="0" applyFont="1" applyFill="1" applyBorder="1" applyAlignment="1">
      <alignment vertical="top"/>
    </xf>
    <xf numFmtId="0" fontId="18" fillId="8" borderId="1" xfId="0" applyFont="1" applyFill="1" applyBorder="1" applyAlignment="1">
      <alignment vertical="top" wrapText="1"/>
    </xf>
    <xf numFmtId="0" fontId="16" fillId="8" borderId="1" xfId="0" applyFont="1" applyFill="1" applyBorder="1" applyAlignment="1">
      <alignment vertical="top"/>
    </xf>
    <xf numFmtId="0" fontId="14" fillId="3" borderId="1" xfId="0" applyFont="1" applyFill="1" applyBorder="1" applyAlignment="1">
      <alignment horizontal="left" vertical="top"/>
    </xf>
    <xf numFmtId="0" fontId="14" fillId="3" borderId="1" xfId="0" applyFont="1" applyFill="1" applyBorder="1" applyAlignment="1">
      <alignment vertical="top"/>
    </xf>
    <xf numFmtId="0" fontId="14" fillId="3" borderId="1" xfId="0" applyFont="1" applyFill="1" applyBorder="1" applyAlignment="1">
      <alignment horizontal="center" vertical="top"/>
    </xf>
    <xf numFmtId="0" fontId="19" fillId="9" borderId="1" xfId="0" applyFont="1" applyFill="1" applyBorder="1" applyAlignment="1">
      <alignment vertical="top" wrapText="1"/>
    </xf>
    <xf numFmtId="0" fontId="19" fillId="9" borderId="1" xfId="0" applyFont="1" applyFill="1" applyBorder="1" applyAlignment="1">
      <alignment horizontal="center" vertical="top" wrapText="1"/>
    </xf>
    <xf numFmtId="0" fontId="14" fillId="3" borderId="1" xfId="0" applyFont="1" applyFill="1" applyBorder="1" applyAlignment="1">
      <alignment horizontal="center" vertical="top" wrapText="1"/>
    </xf>
    <xf numFmtId="0" fontId="14" fillId="3" borderId="1" xfId="0" applyFont="1" applyFill="1" applyBorder="1" applyAlignment="1">
      <alignment vertical="top" wrapText="1"/>
    </xf>
    <xf numFmtId="0" fontId="19" fillId="0" borderId="0" xfId="0" applyFont="1" applyAlignment="1">
      <alignment vertical="top"/>
    </xf>
    <xf numFmtId="0" fontId="19" fillId="17" borderId="1" xfId="0" applyFont="1" applyFill="1" applyBorder="1" applyAlignment="1">
      <alignment horizontal="center" vertical="top"/>
    </xf>
    <xf numFmtId="0" fontId="19" fillId="17" borderId="1" xfId="0" applyFont="1" applyFill="1" applyBorder="1" applyAlignment="1">
      <alignment horizontal="left" vertical="top"/>
    </xf>
    <xf numFmtId="0" fontId="14" fillId="8" borderId="1" xfId="0" applyFont="1" applyFill="1" applyBorder="1" applyAlignment="1">
      <alignment horizontal="left" vertical="top"/>
    </xf>
    <xf numFmtId="0" fontId="14" fillId="8" borderId="1" xfId="0" applyFont="1" applyFill="1" applyBorder="1" applyAlignment="1">
      <alignment horizontal="center" vertical="top"/>
    </xf>
    <xf numFmtId="0" fontId="14" fillId="16" borderId="1" xfId="0" applyFont="1" applyFill="1" applyBorder="1" applyAlignment="1">
      <alignment vertical="top" wrapText="1"/>
    </xf>
    <xf numFmtId="0" fontId="14" fillId="16" borderId="1" xfId="0" applyFont="1" applyFill="1" applyBorder="1" applyAlignment="1">
      <alignment horizontal="center" vertical="top" wrapText="1"/>
    </xf>
    <xf numFmtId="0" fontId="14" fillId="8" borderId="1" xfId="0" applyFont="1" applyFill="1" applyBorder="1" applyAlignment="1">
      <alignment horizontal="center" vertical="top" wrapText="1"/>
    </xf>
    <xf numFmtId="0" fontId="14" fillId="8" borderId="1" xfId="0" applyFont="1" applyFill="1" applyBorder="1" applyAlignment="1">
      <alignment horizontal="left" vertical="top" wrapText="1"/>
    </xf>
    <xf numFmtId="0" fontId="14" fillId="0" borderId="0" xfId="0" applyFont="1" applyAlignment="1">
      <alignment vertical="top"/>
    </xf>
    <xf numFmtId="0" fontId="13" fillId="0" borderId="1" xfId="0" applyFont="1" applyBorder="1" applyAlignment="1">
      <alignment horizontal="left" vertical="top"/>
    </xf>
    <xf numFmtId="0" fontId="13" fillId="0" borderId="1" xfId="0" applyFont="1" applyBorder="1" applyAlignment="1">
      <alignment vertical="top"/>
    </xf>
    <xf numFmtId="0" fontId="13" fillId="0" borderId="1" xfId="0" applyFont="1" applyBorder="1" applyAlignment="1">
      <alignment horizontal="center" vertical="top"/>
    </xf>
    <xf numFmtId="0" fontId="13" fillId="0" borderId="1" xfId="0" applyFont="1" applyBorder="1" applyAlignment="1">
      <alignment vertical="top" wrapText="1"/>
    </xf>
    <xf numFmtId="0" fontId="13" fillId="0" borderId="1" xfId="0" applyFont="1" applyBorder="1" applyAlignment="1">
      <alignment horizontal="center" vertical="top" wrapText="1"/>
    </xf>
    <xf numFmtId="0" fontId="13" fillId="11" borderId="1" xfId="0" applyFont="1" applyFill="1" applyBorder="1" applyAlignment="1">
      <alignment horizontal="left" vertical="top"/>
    </xf>
    <xf numFmtId="0" fontId="13" fillId="11" borderId="1" xfId="0" applyFont="1" applyFill="1" applyBorder="1" applyAlignment="1">
      <alignment horizontal="center" vertical="top"/>
    </xf>
    <xf numFmtId="0" fontId="16" fillId="11" borderId="1" xfId="0" applyFont="1" applyFill="1" applyBorder="1" applyAlignment="1">
      <alignment horizontal="left" vertical="top"/>
    </xf>
    <xf numFmtId="0" fontId="16" fillId="11" borderId="1" xfId="0" applyFont="1" applyFill="1" applyBorder="1" applyAlignment="1">
      <alignment horizontal="left" vertical="top" wrapText="1"/>
    </xf>
    <xf numFmtId="0" fontId="16" fillId="11" borderId="1" xfId="0" applyFont="1" applyFill="1" applyBorder="1" applyAlignment="1">
      <alignment horizontal="center" vertical="top" wrapText="1"/>
    </xf>
    <xf numFmtId="0" fontId="16" fillId="11" borderId="1" xfId="0" applyFont="1" applyFill="1" applyBorder="1" applyAlignment="1">
      <alignment horizontal="center" vertical="top"/>
    </xf>
    <xf numFmtId="0" fontId="16" fillId="8" borderId="1" xfId="0" applyFont="1" applyFill="1" applyBorder="1" applyAlignment="1">
      <alignment vertical="top" wrapText="1"/>
    </xf>
    <xf numFmtId="0" fontId="16" fillId="8" borderId="1" xfId="0" applyFont="1" applyFill="1" applyBorder="1" applyAlignment="1">
      <alignment horizontal="center" vertical="top"/>
    </xf>
    <xf numFmtId="0" fontId="16" fillId="8" borderId="1" xfId="0" applyFont="1" applyFill="1" applyBorder="1" applyAlignment="1">
      <alignment horizontal="center" vertical="top" wrapText="1"/>
    </xf>
    <xf numFmtId="0" fontId="13" fillId="11" borderId="1" xfId="0" applyFont="1" applyFill="1" applyBorder="1" applyAlignment="1">
      <alignment vertical="top"/>
    </xf>
    <xf numFmtId="0" fontId="13" fillId="11" borderId="1" xfId="0" applyFont="1" applyFill="1" applyBorder="1" applyAlignment="1">
      <alignment vertical="top" wrapText="1"/>
    </xf>
    <xf numFmtId="0" fontId="13" fillId="11" borderId="1" xfId="0" applyFont="1" applyFill="1" applyBorder="1" applyAlignment="1">
      <alignment horizontal="center" vertical="top" wrapText="1"/>
    </xf>
    <xf numFmtId="0" fontId="19" fillId="9" borderId="1" xfId="0" applyFont="1" applyFill="1" applyBorder="1" applyAlignment="1">
      <alignment vertical="top"/>
    </xf>
    <xf numFmtId="0" fontId="16" fillId="8" borderId="1" xfId="0" applyFont="1" applyFill="1" applyBorder="1" applyAlignment="1">
      <alignment horizontal="left" vertical="top"/>
    </xf>
    <xf numFmtId="0" fontId="16" fillId="8" borderId="1" xfId="0" applyFont="1" applyFill="1" applyBorder="1" applyAlignment="1">
      <alignment horizontal="left" vertical="top" wrapText="1"/>
    </xf>
    <xf numFmtId="0" fontId="13" fillId="0" borderId="0" xfId="0" applyFont="1" applyAlignment="1">
      <alignment horizontal="left" vertical="top"/>
    </xf>
    <xf numFmtId="0" fontId="13" fillId="0" borderId="0" xfId="0" applyFont="1" applyAlignment="1">
      <alignment horizontal="center" vertical="top"/>
    </xf>
    <xf numFmtId="0" fontId="13" fillId="0" borderId="0" xfId="0" applyFont="1" applyAlignment="1">
      <alignment vertical="top" wrapText="1"/>
    </xf>
    <xf numFmtId="0" fontId="13" fillId="0" borderId="0" xfId="0" applyFont="1" applyAlignment="1">
      <alignment horizontal="center" vertical="top" wrapText="1"/>
    </xf>
    <xf numFmtId="0" fontId="13" fillId="0" borderId="0" xfId="0" applyFont="1" applyAlignment="1">
      <alignment horizontal="left" vertical="top" wrapText="1"/>
    </xf>
    <xf numFmtId="0" fontId="22" fillId="8" borderId="3" xfId="0" applyFont="1" applyFill="1" applyBorder="1" applyAlignment="1">
      <alignment horizontal="center"/>
    </xf>
    <xf numFmtId="0" fontId="13" fillId="8" borderId="2" xfId="0" applyFont="1" applyFill="1" applyBorder="1" applyAlignment="1">
      <alignment horizontal="center" vertical="top"/>
    </xf>
    <xf numFmtId="0" fontId="13" fillId="8" borderId="9" xfId="0" applyFont="1" applyFill="1" applyBorder="1" applyAlignment="1">
      <alignment horizontal="center" vertical="top"/>
    </xf>
    <xf numFmtId="0" fontId="13" fillId="8" borderId="4" xfId="0" applyFont="1" applyFill="1" applyBorder="1" applyAlignment="1">
      <alignment horizontal="center" vertical="top" wrapText="1"/>
    </xf>
    <xf numFmtId="0" fontId="25" fillId="8" borderId="1" xfId="0" applyFont="1" applyFill="1" applyBorder="1" applyAlignment="1">
      <alignment vertical="top" wrapText="1"/>
    </xf>
    <xf numFmtId="0" fontId="25" fillId="14" borderId="1" xfId="0" applyFont="1" applyFill="1" applyBorder="1" applyAlignment="1">
      <alignment vertical="top" wrapText="1"/>
    </xf>
    <xf numFmtId="0" fontId="27" fillId="8" borderId="1" xfId="0" applyFont="1" applyFill="1" applyBorder="1" applyAlignment="1">
      <alignment vertical="top" wrapText="1"/>
    </xf>
    <xf numFmtId="0" fontId="28" fillId="18" borderId="6"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mruColors>
      <color rgb="FFFFFFCC"/>
      <color rgb="FFFFFF66"/>
      <color rgb="FFF9FEB8"/>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U112"/>
  <sheetViews>
    <sheetView tabSelected="1" zoomScale="80" zoomScaleNormal="80" workbookViewId="0">
      <pane ySplit="2" topLeftCell="A12" activePane="bottomLeft" state="frozen"/>
      <selection pane="bottomLeft" activeCell="F16" sqref="F16"/>
    </sheetView>
  </sheetViews>
  <sheetFormatPr defaultColWidth="14.85546875" defaultRowHeight="15"/>
  <cols>
    <col min="1" max="1" width="12.7109375" style="173" bestFit="1" customWidth="1"/>
    <col min="2" max="2" width="10.140625" style="173" bestFit="1" customWidth="1"/>
    <col min="3" max="3" width="14.28515625" style="119" bestFit="1" customWidth="1"/>
    <col min="4" max="4" width="8.85546875" style="174" bestFit="1" customWidth="1"/>
    <col min="5" max="5" width="20.5703125" style="174" bestFit="1" customWidth="1"/>
    <col min="6" max="6" width="23.28515625" style="119" bestFit="1" customWidth="1"/>
    <col min="7" max="7" width="23.42578125" style="175" hidden="1" customWidth="1"/>
    <col min="8" max="8" width="28.85546875" style="176" hidden="1" customWidth="1"/>
    <col min="9" max="9" width="10.7109375" style="174" customWidth="1"/>
    <col min="10" max="10" width="12.7109375" style="174" bestFit="1" customWidth="1"/>
    <col min="11" max="11" width="9.7109375" style="174" hidden="1" customWidth="1"/>
    <col min="12" max="12" width="10.42578125" style="174" hidden="1" customWidth="1"/>
    <col min="13" max="13" width="21.5703125" style="176" bestFit="1" customWidth="1"/>
    <col min="14" max="14" width="9.42578125" style="174" bestFit="1" customWidth="1"/>
    <col min="15" max="15" width="9.5703125" style="174" bestFit="1" customWidth="1"/>
    <col min="16" max="16" width="103.5703125" style="175" customWidth="1"/>
    <col min="17" max="17" width="119.5703125" style="119" bestFit="1" customWidth="1"/>
    <col min="18" max="18" width="125" style="119" bestFit="1" customWidth="1"/>
    <col min="19" max="19" width="30.85546875" style="119" customWidth="1"/>
    <col min="20" max="20" width="111.28515625" style="177" bestFit="1" customWidth="1"/>
    <col min="21" max="21" width="28" style="119" bestFit="1" customWidth="1"/>
    <col min="22" max="16384" width="14.85546875" style="119"/>
  </cols>
  <sheetData>
    <row r="1" spans="1:21" s="106" customFormat="1">
      <c r="A1" s="101" t="s">
        <v>0</v>
      </c>
      <c r="B1" s="101" t="s">
        <v>1</v>
      </c>
      <c r="C1" s="102" t="s">
        <v>2</v>
      </c>
      <c r="D1" s="102" t="s">
        <v>3</v>
      </c>
      <c r="E1" s="103" t="s">
        <v>4</v>
      </c>
      <c r="F1" s="101" t="s">
        <v>5</v>
      </c>
      <c r="G1" s="104" t="s">
        <v>6</v>
      </c>
      <c r="H1" s="104" t="s">
        <v>7</v>
      </c>
      <c r="I1" s="102" t="s">
        <v>8</v>
      </c>
      <c r="J1" s="102" t="s">
        <v>9</v>
      </c>
      <c r="K1" s="102" t="s">
        <v>10</v>
      </c>
      <c r="L1" s="102" t="s">
        <v>11</v>
      </c>
      <c r="M1" s="102" t="s">
        <v>12</v>
      </c>
      <c r="N1" s="105" t="s">
        <v>13</v>
      </c>
      <c r="O1" s="105"/>
      <c r="P1" s="102" t="s">
        <v>14</v>
      </c>
      <c r="Q1" s="102" t="s">
        <v>15</v>
      </c>
      <c r="R1" s="102" t="s">
        <v>16</v>
      </c>
      <c r="S1" s="102" t="s">
        <v>17</v>
      </c>
      <c r="T1" s="101" t="s">
        <v>18</v>
      </c>
      <c r="U1" s="102" t="s">
        <v>19</v>
      </c>
    </row>
    <row r="2" spans="1:21" s="110" customFormat="1">
      <c r="A2" s="107"/>
      <c r="B2" s="107"/>
      <c r="C2" s="108"/>
      <c r="D2" s="108"/>
      <c r="E2" s="185" t="s">
        <v>20</v>
      </c>
      <c r="F2" s="107"/>
      <c r="G2" s="108"/>
      <c r="H2" s="108"/>
      <c r="I2" s="108"/>
      <c r="J2" s="108"/>
      <c r="K2" s="108"/>
      <c r="L2" s="108"/>
      <c r="M2" s="108"/>
      <c r="N2" s="109" t="s">
        <v>21</v>
      </c>
      <c r="O2" s="109" t="s">
        <v>22</v>
      </c>
      <c r="P2" s="108"/>
      <c r="Q2" s="108"/>
      <c r="R2" s="108"/>
      <c r="S2" s="108"/>
      <c r="T2" s="107"/>
      <c r="U2" s="108"/>
    </row>
    <row r="3" spans="1:21">
      <c r="A3" s="111" t="s">
        <v>23</v>
      </c>
      <c r="B3" s="111" t="s">
        <v>24</v>
      </c>
      <c r="C3" s="112" t="s">
        <v>25</v>
      </c>
      <c r="D3" s="113" t="s">
        <v>26</v>
      </c>
      <c r="E3" s="113" t="s">
        <v>27</v>
      </c>
      <c r="F3" s="112" t="s">
        <v>28</v>
      </c>
      <c r="G3" s="114">
        <v>11071.699000000001</v>
      </c>
      <c r="H3" s="115" t="s">
        <v>29</v>
      </c>
      <c r="I3" s="113">
        <v>135</v>
      </c>
      <c r="J3" s="113" t="s">
        <v>30</v>
      </c>
      <c r="K3" s="113" t="s">
        <v>29</v>
      </c>
      <c r="L3" s="179" t="s">
        <v>31</v>
      </c>
      <c r="M3" s="178" t="s">
        <v>32</v>
      </c>
      <c r="N3" s="180" t="s">
        <v>33</v>
      </c>
      <c r="O3" s="113" t="s">
        <v>33</v>
      </c>
      <c r="P3" s="117" t="s">
        <v>34</v>
      </c>
      <c r="Q3" s="112"/>
      <c r="R3" s="112"/>
      <c r="S3" s="113" t="s">
        <v>35</v>
      </c>
      <c r="T3" s="118" t="s">
        <v>36</v>
      </c>
      <c r="U3" s="113" t="s">
        <v>31</v>
      </c>
    </row>
    <row r="4" spans="1:21">
      <c r="A4" s="111" t="s">
        <v>37</v>
      </c>
      <c r="B4" s="111" t="s">
        <v>24</v>
      </c>
      <c r="C4" s="112" t="s">
        <v>38</v>
      </c>
      <c r="D4" s="113" t="s">
        <v>26</v>
      </c>
      <c r="E4" s="113" t="s">
        <v>39</v>
      </c>
      <c r="F4" s="112" t="s">
        <v>40</v>
      </c>
      <c r="G4" s="114"/>
      <c r="H4" s="115"/>
      <c r="I4" s="113">
        <v>120</v>
      </c>
      <c r="J4" s="113" t="s">
        <v>30</v>
      </c>
      <c r="K4" s="113"/>
      <c r="L4" s="179"/>
      <c r="M4" s="178" t="s">
        <v>32</v>
      </c>
      <c r="N4" s="180" t="s">
        <v>41</v>
      </c>
      <c r="O4" s="113" t="s">
        <v>41</v>
      </c>
      <c r="P4" s="117"/>
      <c r="Q4" s="112"/>
      <c r="R4" s="112"/>
      <c r="S4" s="113"/>
      <c r="T4" s="118"/>
      <c r="U4" s="113"/>
    </row>
    <row r="5" spans="1:21" ht="29.25">
      <c r="A5" s="111" t="s">
        <v>42</v>
      </c>
      <c r="B5" s="111" t="s">
        <v>24</v>
      </c>
      <c r="C5" s="112" t="s">
        <v>43</v>
      </c>
      <c r="D5" s="113" t="s">
        <v>26</v>
      </c>
      <c r="E5" s="113" t="s">
        <v>27</v>
      </c>
      <c r="F5" s="112" t="s">
        <v>44</v>
      </c>
      <c r="G5" s="114">
        <v>4565.0239000000001</v>
      </c>
      <c r="H5" s="115" t="s">
        <v>29</v>
      </c>
      <c r="I5" s="113">
        <v>135</v>
      </c>
      <c r="J5" s="113" t="s">
        <v>30</v>
      </c>
      <c r="K5" s="113" t="s">
        <v>29</v>
      </c>
      <c r="L5" s="113" t="s">
        <v>31</v>
      </c>
      <c r="M5" s="181" t="s">
        <v>32</v>
      </c>
      <c r="N5" s="113" t="s">
        <v>45</v>
      </c>
      <c r="O5" s="113"/>
      <c r="P5" s="182" t="s">
        <v>46</v>
      </c>
      <c r="Q5" s="112"/>
      <c r="R5" s="112" t="s">
        <v>47</v>
      </c>
      <c r="S5" s="113" t="s">
        <v>35</v>
      </c>
      <c r="T5" s="118" t="s">
        <v>48</v>
      </c>
      <c r="U5" s="113" t="s">
        <v>29</v>
      </c>
    </row>
    <row r="6" spans="1:21">
      <c r="A6" s="121" t="s">
        <v>49</v>
      </c>
      <c r="B6" s="121" t="s">
        <v>24</v>
      </c>
      <c r="C6" s="122" t="s">
        <v>50</v>
      </c>
      <c r="D6" s="123" t="s">
        <v>26</v>
      </c>
      <c r="E6" s="123"/>
      <c r="F6" s="122" t="s">
        <v>51</v>
      </c>
      <c r="G6" s="124">
        <v>4519.0554000000002</v>
      </c>
      <c r="H6" s="125" t="s">
        <v>29</v>
      </c>
      <c r="I6" s="123">
        <v>100</v>
      </c>
      <c r="J6" s="123" t="s">
        <v>52</v>
      </c>
      <c r="K6" s="123" t="s">
        <v>29</v>
      </c>
      <c r="L6" s="123" t="s">
        <v>31</v>
      </c>
      <c r="M6" s="126"/>
      <c r="N6" s="123"/>
      <c r="O6" s="123"/>
      <c r="P6" s="127" t="s">
        <v>53</v>
      </c>
      <c r="Q6" s="122" t="s">
        <v>54</v>
      </c>
      <c r="R6" s="122" t="s">
        <v>55</v>
      </c>
      <c r="S6" s="123" t="s">
        <v>35</v>
      </c>
      <c r="T6" s="121" t="s">
        <v>56</v>
      </c>
      <c r="U6" s="123"/>
    </row>
    <row r="7" spans="1:21">
      <c r="A7" s="111" t="s">
        <v>23</v>
      </c>
      <c r="B7" s="111" t="s">
        <v>24</v>
      </c>
      <c r="C7" s="112" t="s">
        <v>23</v>
      </c>
      <c r="D7" s="113" t="s">
        <v>26</v>
      </c>
      <c r="E7" s="113" t="s">
        <v>20</v>
      </c>
      <c r="F7" s="112" t="s">
        <v>57</v>
      </c>
      <c r="G7" s="114">
        <v>3401.3332999999998</v>
      </c>
      <c r="H7" s="115" t="s">
        <v>29</v>
      </c>
      <c r="I7" s="113">
        <v>240</v>
      </c>
      <c r="J7" s="113" t="s">
        <v>30</v>
      </c>
      <c r="K7" s="113" t="s">
        <v>29</v>
      </c>
      <c r="L7" s="113" t="s">
        <v>31</v>
      </c>
      <c r="M7" s="116" t="s">
        <v>32</v>
      </c>
      <c r="N7" s="113"/>
      <c r="O7" s="113"/>
      <c r="P7" s="128" t="s">
        <v>58</v>
      </c>
      <c r="Q7" s="112"/>
      <c r="R7" s="112"/>
      <c r="S7" s="113" t="s">
        <v>35</v>
      </c>
      <c r="T7" s="118" t="s">
        <v>29</v>
      </c>
      <c r="U7" s="113" t="s">
        <v>31</v>
      </c>
    </row>
    <row r="8" spans="1:21">
      <c r="A8" s="121" t="s">
        <v>49</v>
      </c>
      <c r="B8" s="121" t="s">
        <v>24</v>
      </c>
      <c r="C8" s="122" t="s">
        <v>59</v>
      </c>
      <c r="D8" s="123" t="s">
        <v>26</v>
      </c>
      <c r="E8" s="123"/>
      <c r="F8" s="122" t="s">
        <v>60</v>
      </c>
      <c r="G8" s="124">
        <v>3172.1057999999998</v>
      </c>
      <c r="H8" s="125" t="s">
        <v>29</v>
      </c>
      <c r="I8" s="123">
        <v>120</v>
      </c>
      <c r="J8" s="123" t="s">
        <v>52</v>
      </c>
      <c r="K8" s="123" t="s">
        <v>29</v>
      </c>
      <c r="L8" s="123" t="s">
        <v>31</v>
      </c>
      <c r="M8" s="126"/>
      <c r="N8" s="123"/>
      <c r="O8" s="123"/>
      <c r="P8" s="127" t="s">
        <v>61</v>
      </c>
      <c r="Q8" s="122" t="s">
        <v>62</v>
      </c>
      <c r="R8" s="122"/>
      <c r="S8" s="123" t="s">
        <v>35</v>
      </c>
      <c r="T8" s="121" t="s">
        <v>56</v>
      </c>
      <c r="U8" s="123"/>
    </row>
    <row r="9" spans="1:21">
      <c r="A9" s="111" t="s">
        <v>63</v>
      </c>
      <c r="B9" s="111" t="s">
        <v>24</v>
      </c>
      <c r="C9" s="112" t="s">
        <v>64</v>
      </c>
      <c r="D9" s="113" t="s">
        <v>26</v>
      </c>
      <c r="E9" s="113" t="s">
        <v>20</v>
      </c>
      <c r="F9" s="112" t="s">
        <v>65</v>
      </c>
      <c r="G9" s="114">
        <v>3095.4506999999999</v>
      </c>
      <c r="H9" s="115" t="s">
        <v>29</v>
      </c>
      <c r="I9" s="113">
        <v>100</v>
      </c>
      <c r="J9" s="113" t="s">
        <v>30</v>
      </c>
      <c r="K9" s="113" t="s">
        <v>29</v>
      </c>
      <c r="L9" s="113" t="s">
        <v>31</v>
      </c>
      <c r="M9" s="116" t="s">
        <v>32</v>
      </c>
      <c r="N9" s="113" t="s">
        <v>66</v>
      </c>
      <c r="O9" s="113" t="s">
        <v>67</v>
      </c>
      <c r="P9" s="120" t="s">
        <v>68</v>
      </c>
      <c r="Q9" s="112"/>
      <c r="R9" s="112"/>
      <c r="S9" s="113" t="s">
        <v>35</v>
      </c>
      <c r="T9" s="118" t="s">
        <v>69</v>
      </c>
      <c r="U9" s="113" t="s">
        <v>29</v>
      </c>
    </row>
    <row r="10" spans="1:21">
      <c r="A10" s="121" t="s">
        <v>23</v>
      </c>
      <c r="B10" s="121" t="s">
        <v>24</v>
      </c>
      <c r="C10" s="122" t="s">
        <v>70</v>
      </c>
      <c r="D10" s="123" t="s">
        <v>26</v>
      </c>
      <c r="E10" s="123"/>
      <c r="F10" s="122" t="s">
        <v>71</v>
      </c>
      <c r="G10" s="124">
        <v>2825.3986</v>
      </c>
      <c r="H10" s="125" t="s">
        <v>29</v>
      </c>
      <c r="I10" s="123">
        <v>120</v>
      </c>
      <c r="J10" s="123" t="s">
        <v>30</v>
      </c>
      <c r="K10" s="123" t="s">
        <v>29</v>
      </c>
      <c r="L10" s="123" t="s">
        <v>31</v>
      </c>
      <c r="M10" s="126" t="s">
        <v>72</v>
      </c>
      <c r="N10" s="123"/>
      <c r="O10" s="123"/>
      <c r="P10" s="127" t="s">
        <v>73</v>
      </c>
      <c r="Q10" s="122"/>
      <c r="R10" s="122" t="s">
        <v>74</v>
      </c>
      <c r="S10" s="123" t="s">
        <v>35</v>
      </c>
      <c r="T10" s="121" t="s">
        <v>29</v>
      </c>
      <c r="U10" s="123" t="s">
        <v>29</v>
      </c>
    </row>
    <row r="11" spans="1:21">
      <c r="A11" s="111" t="s">
        <v>49</v>
      </c>
      <c r="B11" s="111" t="s">
        <v>24</v>
      </c>
      <c r="C11" s="112" t="s">
        <v>75</v>
      </c>
      <c r="D11" s="113" t="s">
        <v>26</v>
      </c>
      <c r="E11" s="113" t="s">
        <v>27</v>
      </c>
      <c r="F11" s="112" t="s">
        <v>76</v>
      </c>
      <c r="G11" s="114">
        <v>2386.6242999999999</v>
      </c>
      <c r="H11" s="115" t="s">
        <v>29</v>
      </c>
      <c r="I11" s="113">
        <v>120</v>
      </c>
      <c r="J11" s="113" t="s">
        <v>30</v>
      </c>
      <c r="K11" s="113" t="s">
        <v>29</v>
      </c>
      <c r="L11" s="113" t="s">
        <v>31</v>
      </c>
      <c r="M11" s="116" t="s">
        <v>32</v>
      </c>
      <c r="N11" s="113" t="s">
        <v>66</v>
      </c>
      <c r="O11" s="113" t="s">
        <v>67</v>
      </c>
      <c r="P11" s="120" t="s">
        <v>77</v>
      </c>
      <c r="Q11" s="112" t="s">
        <v>78</v>
      </c>
      <c r="R11" s="112"/>
      <c r="S11" s="113" t="s">
        <v>35</v>
      </c>
      <c r="T11" s="118" t="s">
        <v>56</v>
      </c>
      <c r="U11" s="113"/>
    </row>
    <row r="12" spans="1:21">
      <c r="A12" s="111" t="s">
        <v>23</v>
      </c>
      <c r="B12" s="111" t="s">
        <v>24</v>
      </c>
      <c r="C12" s="112" t="s">
        <v>79</v>
      </c>
      <c r="D12" s="113" t="s">
        <v>26</v>
      </c>
      <c r="E12" s="113" t="s">
        <v>80</v>
      </c>
      <c r="F12" s="112" t="s">
        <v>81</v>
      </c>
      <c r="G12" s="114">
        <v>1777.9536000000001</v>
      </c>
      <c r="H12" s="115" t="s">
        <v>29</v>
      </c>
      <c r="I12" s="113">
        <v>30</v>
      </c>
      <c r="J12" s="113" t="s">
        <v>30</v>
      </c>
      <c r="K12" s="113" t="s">
        <v>31</v>
      </c>
      <c r="L12" s="113" t="s">
        <v>31</v>
      </c>
      <c r="M12" s="116" t="s">
        <v>32</v>
      </c>
      <c r="N12" s="113" t="s">
        <v>66</v>
      </c>
      <c r="O12" s="113" t="s">
        <v>67</v>
      </c>
      <c r="P12" s="120"/>
      <c r="Q12" s="112"/>
      <c r="R12" s="112"/>
      <c r="S12" s="113" t="s">
        <v>35</v>
      </c>
      <c r="T12" s="118" t="s">
        <v>29</v>
      </c>
      <c r="U12" s="113" t="s">
        <v>29</v>
      </c>
    </row>
    <row r="13" spans="1:21">
      <c r="A13" s="111" t="s">
        <v>42</v>
      </c>
      <c r="B13" s="111" t="s">
        <v>24</v>
      </c>
      <c r="C13" s="112" t="s">
        <v>82</v>
      </c>
      <c r="D13" s="113" t="s">
        <v>26</v>
      </c>
      <c r="E13" s="113" t="s">
        <v>27</v>
      </c>
      <c r="F13" s="112" t="s">
        <v>83</v>
      </c>
      <c r="G13" s="114">
        <v>1819.9555</v>
      </c>
      <c r="H13" s="115" t="s">
        <v>29</v>
      </c>
      <c r="I13" s="113">
        <v>600</v>
      </c>
      <c r="J13" s="113" t="s">
        <v>30</v>
      </c>
      <c r="K13" s="113" t="s">
        <v>29</v>
      </c>
      <c r="L13" s="113" t="s">
        <v>31</v>
      </c>
      <c r="M13" s="116" t="s">
        <v>32</v>
      </c>
      <c r="N13" s="113" t="s">
        <v>66</v>
      </c>
      <c r="O13" s="113" t="s">
        <v>67</v>
      </c>
      <c r="P13" s="120" t="s">
        <v>84</v>
      </c>
      <c r="Q13" s="112"/>
      <c r="R13" s="112" t="s">
        <v>85</v>
      </c>
      <c r="S13" s="113" t="s">
        <v>35</v>
      </c>
      <c r="T13" s="118" t="s">
        <v>86</v>
      </c>
      <c r="U13" s="113"/>
    </row>
    <row r="14" spans="1:21">
      <c r="A14" s="111" t="s">
        <v>23</v>
      </c>
      <c r="B14" s="111" t="s">
        <v>87</v>
      </c>
      <c r="C14" s="112" t="s">
        <v>88</v>
      </c>
      <c r="D14" s="113" t="s">
        <v>26</v>
      </c>
      <c r="E14" s="113" t="s">
        <v>39</v>
      </c>
      <c r="F14" s="112" t="s">
        <v>89</v>
      </c>
      <c r="G14" s="114">
        <v>1626.6776</v>
      </c>
      <c r="H14" s="115" t="s">
        <v>29</v>
      </c>
      <c r="I14" s="113">
        <v>0</v>
      </c>
      <c r="J14" s="113" t="s">
        <v>30</v>
      </c>
      <c r="K14" s="113" t="s">
        <v>29</v>
      </c>
      <c r="L14" s="113" t="s">
        <v>31</v>
      </c>
      <c r="M14" s="116" t="s">
        <v>32</v>
      </c>
      <c r="N14" s="113" t="s">
        <v>66</v>
      </c>
      <c r="O14" s="113" t="s">
        <v>67</v>
      </c>
      <c r="P14" s="120"/>
      <c r="Q14" s="112"/>
      <c r="R14" s="112" t="s">
        <v>90</v>
      </c>
      <c r="S14" s="113" t="s">
        <v>35</v>
      </c>
      <c r="T14" s="118" t="s">
        <v>29</v>
      </c>
      <c r="U14" s="113" t="s">
        <v>29</v>
      </c>
    </row>
    <row r="15" spans="1:21">
      <c r="A15" s="111" t="s">
        <v>23</v>
      </c>
      <c r="B15" s="111" t="s">
        <v>24</v>
      </c>
      <c r="C15" s="112" t="s">
        <v>91</v>
      </c>
      <c r="D15" s="113" t="s">
        <v>26</v>
      </c>
      <c r="E15" s="113" t="s">
        <v>27</v>
      </c>
      <c r="F15" s="112" t="s">
        <v>92</v>
      </c>
      <c r="G15" s="114">
        <v>1414.0487000000001</v>
      </c>
      <c r="H15" s="115" t="s">
        <v>29</v>
      </c>
      <c r="I15" s="113" t="s">
        <v>93</v>
      </c>
      <c r="J15" s="113" t="s">
        <v>30</v>
      </c>
      <c r="K15" s="113" t="s">
        <v>29</v>
      </c>
      <c r="L15" s="113" t="s">
        <v>31</v>
      </c>
      <c r="M15" s="116" t="s">
        <v>32</v>
      </c>
      <c r="N15" s="113" t="s">
        <v>94</v>
      </c>
      <c r="O15" s="113"/>
      <c r="P15" s="128" t="s">
        <v>95</v>
      </c>
      <c r="Q15" s="112"/>
      <c r="R15" s="112"/>
      <c r="S15" s="113" t="s">
        <v>35</v>
      </c>
      <c r="T15" s="118" t="s">
        <v>29</v>
      </c>
      <c r="U15" s="113" t="s">
        <v>29</v>
      </c>
    </row>
    <row r="16" spans="1:21">
      <c r="A16" s="121" t="s">
        <v>37</v>
      </c>
      <c r="B16" s="121" t="s">
        <v>24</v>
      </c>
      <c r="C16" s="122" t="s">
        <v>96</v>
      </c>
      <c r="D16" s="123" t="s">
        <v>26</v>
      </c>
      <c r="E16" s="123"/>
      <c r="F16" s="122" t="s">
        <v>97</v>
      </c>
      <c r="G16" s="124">
        <v>1195.9594999999999</v>
      </c>
      <c r="H16" s="125" t="s">
        <v>29</v>
      </c>
      <c r="I16" s="123">
        <v>480</v>
      </c>
      <c r="J16" s="123" t="s">
        <v>52</v>
      </c>
      <c r="K16" s="123" t="s">
        <v>31</v>
      </c>
      <c r="L16" s="123" t="s">
        <v>31</v>
      </c>
      <c r="M16" s="126"/>
      <c r="N16" s="123"/>
      <c r="O16" s="123"/>
      <c r="P16" s="129" t="s">
        <v>98</v>
      </c>
      <c r="Q16" s="122"/>
      <c r="R16" s="122" t="s">
        <v>99</v>
      </c>
      <c r="S16" s="123" t="s">
        <v>35</v>
      </c>
      <c r="T16" s="130" t="s">
        <v>100</v>
      </c>
      <c r="U16" s="123" t="s">
        <v>31</v>
      </c>
    </row>
    <row r="17" spans="1:21" ht="29.25">
      <c r="A17" s="121" t="s">
        <v>37</v>
      </c>
      <c r="B17" s="121" t="s">
        <v>87</v>
      </c>
      <c r="C17" s="122" t="s">
        <v>101</v>
      </c>
      <c r="D17" s="123" t="s">
        <v>26</v>
      </c>
      <c r="E17" s="123" t="s">
        <v>20</v>
      </c>
      <c r="F17" s="122" t="s">
        <v>102</v>
      </c>
      <c r="G17" s="124"/>
      <c r="H17" s="125" t="s">
        <v>29</v>
      </c>
      <c r="I17" s="123">
        <v>20</v>
      </c>
      <c r="J17" s="123" t="s">
        <v>103</v>
      </c>
      <c r="K17" s="123" t="s">
        <v>31</v>
      </c>
      <c r="L17" s="123" t="s">
        <v>31</v>
      </c>
      <c r="M17" s="126"/>
      <c r="N17" s="123"/>
      <c r="O17" s="123"/>
      <c r="P17" s="131" t="s">
        <v>104</v>
      </c>
      <c r="Q17" s="122"/>
      <c r="R17" s="122" t="s">
        <v>105</v>
      </c>
      <c r="S17" s="123" t="s">
        <v>35</v>
      </c>
      <c r="T17" s="121" t="s">
        <v>29</v>
      </c>
      <c r="U17" s="123" t="s">
        <v>31</v>
      </c>
    </row>
    <row r="18" spans="1:21">
      <c r="A18" s="121" t="s">
        <v>23</v>
      </c>
      <c r="B18" s="121" t="s">
        <v>24</v>
      </c>
      <c r="C18" s="122" t="s">
        <v>106</v>
      </c>
      <c r="D18" s="123" t="s">
        <v>26</v>
      </c>
      <c r="E18" s="123"/>
      <c r="F18" s="122" t="s">
        <v>107</v>
      </c>
      <c r="G18" s="124"/>
      <c r="H18" s="125" t="s">
        <v>29</v>
      </c>
      <c r="I18" s="123"/>
      <c r="J18" s="123" t="s">
        <v>52</v>
      </c>
      <c r="K18" s="123" t="s">
        <v>31</v>
      </c>
      <c r="L18" s="123" t="s">
        <v>31</v>
      </c>
      <c r="M18" s="126"/>
      <c r="N18" s="123"/>
      <c r="O18" s="123"/>
      <c r="P18" s="131" t="s">
        <v>108</v>
      </c>
      <c r="Q18" s="122"/>
      <c r="R18" s="122"/>
      <c r="S18" s="123" t="s">
        <v>35</v>
      </c>
      <c r="T18" s="121" t="s">
        <v>109</v>
      </c>
      <c r="U18" s="123" t="s">
        <v>31</v>
      </c>
    </row>
    <row r="19" spans="1:21" ht="29.25">
      <c r="A19" s="111" t="s">
        <v>37</v>
      </c>
      <c r="B19" s="111" t="s">
        <v>24</v>
      </c>
      <c r="C19" s="112" t="s">
        <v>110</v>
      </c>
      <c r="D19" s="113" t="s">
        <v>26</v>
      </c>
      <c r="E19" s="113" t="s">
        <v>111</v>
      </c>
      <c r="F19" s="112" t="s">
        <v>112</v>
      </c>
      <c r="G19" s="114"/>
      <c r="H19" s="115" t="s">
        <v>29</v>
      </c>
      <c r="I19" s="113" t="s">
        <v>113</v>
      </c>
      <c r="J19" s="113" t="s">
        <v>30</v>
      </c>
      <c r="K19" s="113"/>
      <c r="L19" s="113" t="s">
        <v>31</v>
      </c>
      <c r="M19" s="116" t="s">
        <v>32</v>
      </c>
      <c r="N19" s="113" t="s">
        <v>66</v>
      </c>
      <c r="O19" s="113" t="s">
        <v>67</v>
      </c>
      <c r="P19" s="117" t="s">
        <v>114</v>
      </c>
      <c r="Q19" s="112" t="s">
        <v>115</v>
      </c>
      <c r="R19" s="112"/>
      <c r="S19" s="113" t="s">
        <v>35</v>
      </c>
      <c r="T19" s="118"/>
      <c r="U19" s="113"/>
    </row>
    <row r="20" spans="1:21">
      <c r="A20" s="111" t="s">
        <v>63</v>
      </c>
      <c r="B20" s="111" t="s">
        <v>24</v>
      </c>
      <c r="C20" s="112" t="s">
        <v>63</v>
      </c>
      <c r="D20" s="113" t="s">
        <v>26</v>
      </c>
      <c r="E20" s="113" t="s">
        <v>20</v>
      </c>
      <c r="F20" s="112" t="s">
        <v>116</v>
      </c>
      <c r="G20" s="114">
        <v>3704.2923000000001</v>
      </c>
      <c r="H20" s="115" t="s">
        <v>29</v>
      </c>
      <c r="I20" s="113">
        <v>30</v>
      </c>
      <c r="J20" s="113" t="s">
        <v>30</v>
      </c>
      <c r="K20" s="113" t="s">
        <v>31</v>
      </c>
      <c r="L20" s="113" t="s">
        <v>31</v>
      </c>
      <c r="M20" s="116" t="s">
        <v>32</v>
      </c>
      <c r="N20" s="113" t="s">
        <v>66</v>
      </c>
      <c r="O20" s="113" t="s">
        <v>67</v>
      </c>
      <c r="P20" s="117" t="s">
        <v>117</v>
      </c>
      <c r="Q20" s="112"/>
      <c r="R20" s="112" t="s">
        <v>118</v>
      </c>
      <c r="S20" s="113" t="s">
        <v>119</v>
      </c>
      <c r="T20" s="118" t="s">
        <v>69</v>
      </c>
      <c r="U20" s="113" t="s">
        <v>29</v>
      </c>
    </row>
    <row r="21" spans="1:21">
      <c r="A21" s="111" t="s">
        <v>49</v>
      </c>
      <c r="B21" s="111" t="s">
        <v>24</v>
      </c>
      <c r="C21" s="112" t="s">
        <v>59</v>
      </c>
      <c r="D21" s="113" t="s">
        <v>26</v>
      </c>
      <c r="E21" s="113" t="s">
        <v>20</v>
      </c>
      <c r="F21" s="112" t="s">
        <v>120</v>
      </c>
      <c r="G21" s="114">
        <v>3404.8971999999999</v>
      </c>
      <c r="H21" s="115" t="s">
        <v>29</v>
      </c>
      <c r="I21" s="113">
        <v>360</v>
      </c>
      <c r="J21" s="113" t="s">
        <v>30</v>
      </c>
      <c r="K21" s="113" t="s">
        <v>29</v>
      </c>
      <c r="L21" s="113" t="s">
        <v>31</v>
      </c>
      <c r="M21" s="116" t="s">
        <v>32</v>
      </c>
      <c r="N21" s="113" t="s">
        <v>66</v>
      </c>
      <c r="O21" s="113" t="s">
        <v>67</v>
      </c>
      <c r="P21" s="117" t="s">
        <v>121</v>
      </c>
      <c r="Q21" s="112" t="s">
        <v>122</v>
      </c>
      <c r="R21" s="112"/>
      <c r="S21" s="113" t="s">
        <v>119</v>
      </c>
      <c r="T21" s="118" t="s">
        <v>123</v>
      </c>
      <c r="U21" s="113" t="s">
        <v>31</v>
      </c>
    </row>
    <row r="22" spans="1:21">
      <c r="A22" s="111" t="s">
        <v>63</v>
      </c>
      <c r="B22" s="111" t="s">
        <v>24</v>
      </c>
      <c r="C22" s="112" t="s">
        <v>124</v>
      </c>
      <c r="D22" s="113" t="s">
        <v>26</v>
      </c>
      <c r="E22" s="113" t="s">
        <v>20</v>
      </c>
      <c r="F22" s="112" t="s">
        <v>125</v>
      </c>
      <c r="G22" s="114">
        <v>3378.4137999999998</v>
      </c>
      <c r="H22" s="115" t="s">
        <v>29</v>
      </c>
      <c r="I22" s="113">
        <v>180</v>
      </c>
      <c r="J22" s="113" t="s">
        <v>30</v>
      </c>
      <c r="K22" s="113" t="s">
        <v>29</v>
      </c>
      <c r="L22" s="113" t="s">
        <v>31</v>
      </c>
      <c r="M22" s="116" t="s">
        <v>32</v>
      </c>
      <c r="N22" s="113" t="s">
        <v>94</v>
      </c>
      <c r="O22" s="113" t="s">
        <v>126</v>
      </c>
      <c r="P22" s="117" t="s">
        <v>127</v>
      </c>
      <c r="Q22" s="112"/>
      <c r="R22" s="112"/>
      <c r="S22" s="113" t="s">
        <v>119</v>
      </c>
      <c r="T22" s="118" t="s">
        <v>69</v>
      </c>
      <c r="U22" s="113" t="s">
        <v>29</v>
      </c>
    </row>
    <row r="23" spans="1:21">
      <c r="A23" s="121" t="s">
        <v>49</v>
      </c>
      <c r="B23" s="121" t="s">
        <v>24</v>
      </c>
      <c r="C23" s="122" t="s">
        <v>128</v>
      </c>
      <c r="D23" s="123" t="s">
        <v>26</v>
      </c>
      <c r="E23" s="123"/>
      <c r="F23" s="122" t="s">
        <v>129</v>
      </c>
      <c r="G23" s="124">
        <v>3252.8272000000002</v>
      </c>
      <c r="H23" s="125" t="s">
        <v>29</v>
      </c>
      <c r="I23" s="123">
        <v>30</v>
      </c>
      <c r="J23" s="123" t="s">
        <v>30</v>
      </c>
      <c r="K23" s="123" t="s">
        <v>31</v>
      </c>
      <c r="L23" s="123" t="s">
        <v>31</v>
      </c>
      <c r="M23" s="126"/>
      <c r="N23" s="123"/>
      <c r="O23" s="123"/>
      <c r="P23" s="131" t="s">
        <v>130</v>
      </c>
      <c r="Q23" s="132" t="s">
        <v>131</v>
      </c>
      <c r="R23" s="122"/>
      <c r="S23" s="123" t="s">
        <v>119</v>
      </c>
      <c r="T23" s="121" t="s">
        <v>56</v>
      </c>
      <c r="U23" s="123"/>
    </row>
    <row r="24" spans="1:21">
      <c r="A24" s="111" t="s">
        <v>42</v>
      </c>
      <c r="B24" s="111" t="s">
        <v>24</v>
      </c>
      <c r="C24" s="112" t="s">
        <v>43</v>
      </c>
      <c r="D24" s="113" t="s">
        <v>26</v>
      </c>
      <c r="E24" s="113" t="s">
        <v>111</v>
      </c>
      <c r="F24" s="112" t="s">
        <v>132</v>
      </c>
      <c r="G24" s="114">
        <v>2876.1590000000001</v>
      </c>
      <c r="H24" s="115" t="s">
        <v>29</v>
      </c>
      <c r="I24" s="113">
        <v>135</v>
      </c>
      <c r="J24" s="113" t="s">
        <v>30</v>
      </c>
      <c r="K24" s="113" t="s">
        <v>29</v>
      </c>
      <c r="L24" s="113" t="s">
        <v>31</v>
      </c>
      <c r="M24" s="116" t="s">
        <v>32</v>
      </c>
      <c r="N24" s="113" t="s">
        <v>66</v>
      </c>
      <c r="O24" s="113" t="s">
        <v>67</v>
      </c>
      <c r="P24" s="117" t="s">
        <v>133</v>
      </c>
      <c r="Q24" s="112"/>
      <c r="R24" s="112" t="s">
        <v>134</v>
      </c>
      <c r="S24" s="113" t="s">
        <v>119</v>
      </c>
      <c r="T24" s="118" t="s">
        <v>86</v>
      </c>
      <c r="U24" s="113" t="s">
        <v>29</v>
      </c>
    </row>
    <row r="25" spans="1:21">
      <c r="A25" s="111" t="s">
        <v>23</v>
      </c>
      <c r="B25" s="111" t="s">
        <v>24</v>
      </c>
      <c r="C25" s="112" t="s">
        <v>91</v>
      </c>
      <c r="D25" s="113" t="s">
        <v>26</v>
      </c>
      <c r="E25" s="113" t="s">
        <v>27</v>
      </c>
      <c r="F25" s="112" t="s">
        <v>135</v>
      </c>
      <c r="G25" s="114">
        <v>2809.4016999999999</v>
      </c>
      <c r="H25" s="115" t="s">
        <v>29</v>
      </c>
      <c r="I25" s="113">
        <v>150</v>
      </c>
      <c r="J25" s="113" t="s">
        <v>30</v>
      </c>
      <c r="K25" s="113" t="s">
        <v>29</v>
      </c>
      <c r="L25" s="113" t="s">
        <v>31</v>
      </c>
      <c r="M25" s="116" t="s">
        <v>32</v>
      </c>
      <c r="N25" s="113" t="s">
        <v>66</v>
      </c>
      <c r="O25" s="113" t="s">
        <v>67</v>
      </c>
      <c r="P25" s="128"/>
      <c r="Q25" s="112"/>
      <c r="R25" s="112" t="s">
        <v>136</v>
      </c>
      <c r="S25" s="113" t="s">
        <v>119</v>
      </c>
      <c r="T25" s="118" t="s">
        <v>29</v>
      </c>
      <c r="U25" s="113" t="s">
        <v>29</v>
      </c>
    </row>
    <row r="26" spans="1:21">
      <c r="A26" s="111" t="s">
        <v>37</v>
      </c>
      <c r="B26" s="111" t="s">
        <v>24</v>
      </c>
      <c r="C26" s="112" t="s">
        <v>137</v>
      </c>
      <c r="D26" s="113" t="s">
        <v>26</v>
      </c>
      <c r="E26" s="113" t="s">
        <v>138</v>
      </c>
      <c r="F26" s="112" t="s">
        <v>139</v>
      </c>
      <c r="G26" s="114">
        <v>2690.259</v>
      </c>
      <c r="H26" s="115" t="s">
        <v>29</v>
      </c>
      <c r="I26" s="113">
        <v>480</v>
      </c>
      <c r="J26" s="113" t="s">
        <v>30</v>
      </c>
      <c r="K26" s="113" t="s">
        <v>29</v>
      </c>
      <c r="L26" s="113" t="s">
        <v>31</v>
      </c>
      <c r="M26" s="116" t="s">
        <v>32</v>
      </c>
      <c r="N26" s="113" t="s">
        <v>67</v>
      </c>
      <c r="O26" s="113" t="s">
        <v>67</v>
      </c>
      <c r="P26" s="184" t="s">
        <v>140</v>
      </c>
      <c r="Q26" s="112"/>
      <c r="R26" s="112" t="s">
        <v>141</v>
      </c>
      <c r="S26" s="113" t="s">
        <v>119</v>
      </c>
      <c r="T26" s="118" t="s">
        <v>142</v>
      </c>
      <c r="U26" s="113" t="s">
        <v>29</v>
      </c>
    </row>
    <row r="27" spans="1:21">
      <c r="A27" s="111" t="s">
        <v>49</v>
      </c>
      <c r="B27" s="111" t="s">
        <v>24</v>
      </c>
      <c r="C27" s="112" t="s">
        <v>143</v>
      </c>
      <c r="D27" s="113" t="s">
        <v>26</v>
      </c>
      <c r="E27" s="113" t="s">
        <v>20</v>
      </c>
      <c r="F27" s="112" t="s">
        <v>144</v>
      </c>
      <c r="G27" s="114">
        <v>1927.2389000000001</v>
      </c>
      <c r="H27" s="115" t="s">
        <v>29</v>
      </c>
      <c r="I27" s="113">
        <v>240</v>
      </c>
      <c r="J27" s="113" t="s">
        <v>30</v>
      </c>
      <c r="K27" s="113" t="s">
        <v>29</v>
      </c>
      <c r="L27" s="113" t="s">
        <v>31</v>
      </c>
      <c r="M27" s="116" t="s">
        <v>32</v>
      </c>
      <c r="N27" s="113" t="s">
        <v>66</v>
      </c>
      <c r="O27" s="113" t="s">
        <v>126</v>
      </c>
      <c r="P27" s="117"/>
      <c r="Q27" s="112" t="s">
        <v>145</v>
      </c>
      <c r="R27" s="112"/>
      <c r="S27" s="113" t="s">
        <v>119</v>
      </c>
      <c r="T27" s="118" t="s">
        <v>56</v>
      </c>
      <c r="U27" s="113"/>
    </row>
    <row r="28" spans="1:21">
      <c r="A28" s="111" t="s">
        <v>63</v>
      </c>
      <c r="B28" s="111" t="s">
        <v>24</v>
      </c>
      <c r="C28" s="111" t="s">
        <v>146</v>
      </c>
      <c r="D28" s="113" t="s">
        <v>26</v>
      </c>
      <c r="E28" s="113" t="s">
        <v>20</v>
      </c>
      <c r="F28" s="112" t="s">
        <v>147</v>
      </c>
      <c r="G28" s="114"/>
      <c r="H28" s="115" t="s">
        <v>29</v>
      </c>
      <c r="I28" s="113"/>
      <c r="J28" s="113" t="s">
        <v>103</v>
      </c>
      <c r="K28" s="113" t="s">
        <v>29</v>
      </c>
      <c r="L28" s="113" t="s">
        <v>31</v>
      </c>
      <c r="M28" s="116" t="s">
        <v>32</v>
      </c>
      <c r="N28" s="113" t="s">
        <v>66</v>
      </c>
      <c r="O28" s="113"/>
      <c r="P28" s="117" t="s">
        <v>117</v>
      </c>
      <c r="Q28" s="112"/>
      <c r="R28" s="112"/>
      <c r="S28" s="113" t="s">
        <v>119</v>
      </c>
      <c r="T28" s="118" t="s">
        <v>69</v>
      </c>
      <c r="U28" s="113" t="s">
        <v>29</v>
      </c>
    </row>
    <row r="29" spans="1:21">
      <c r="A29" s="111" t="s">
        <v>63</v>
      </c>
      <c r="B29" s="111" t="s">
        <v>24</v>
      </c>
      <c r="C29" s="112" t="s">
        <v>148</v>
      </c>
      <c r="D29" s="113" t="s">
        <v>26</v>
      </c>
      <c r="E29" s="113" t="s">
        <v>39</v>
      </c>
      <c r="F29" s="112" t="s">
        <v>149</v>
      </c>
      <c r="G29" s="114"/>
      <c r="H29" s="115" t="s">
        <v>29</v>
      </c>
      <c r="I29" s="113"/>
      <c r="J29" s="113" t="s">
        <v>30</v>
      </c>
      <c r="K29" s="113" t="s">
        <v>29</v>
      </c>
      <c r="L29" s="113" t="s">
        <v>31</v>
      </c>
      <c r="M29" s="116" t="s">
        <v>32</v>
      </c>
      <c r="N29" s="113" t="s">
        <v>67</v>
      </c>
      <c r="O29" s="113" t="s">
        <v>67</v>
      </c>
      <c r="P29" s="117" t="s">
        <v>117</v>
      </c>
      <c r="Q29" s="112"/>
      <c r="R29" s="112"/>
      <c r="S29" s="113" t="s">
        <v>119</v>
      </c>
      <c r="T29" s="118" t="s">
        <v>150</v>
      </c>
      <c r="U29" s="113" t="s">
        <v>29</v>
      </c>
    </row>
    <row r="30" spans="1:21">
      <c r="A30" s="121" t="s">
        <v>37</v>
      </c>
      <c r="B30" s="121" t="s">
        <v>24</v>
      </c>
      <c r="C30" s="122" t="s">
        <v>151</v>
      </c>
      <c r="D30" s="123" t="s">
        <v>26</v>
      </c>
      <c r="E30" s="123"/>
      <c r="F30" s="122" t="s">
        <v>152</v>
      </c>
      <c r="G30" s="124"/>
      <c r="H30" s="125" t="s">
        <v>29</v>
      </c>
      <c r="I30" s="123">
        <v>300</v>
      </c>
      <c r="J30" s="123" t="s">
        <v>30</v>
      </c>
      <c r="K30" s="123" t="s">
        <v>29</v>
      </c>
      <c r="L30" s="123" t="s">
        <v>31</v>
      </c>
      <c r="M30" s="126"/>
      <c r="N30" s="123"/>
      <c r="O30" s="123"/>
      <c r="P30" s="183" t="s">
        <v>153</v>
      </c>
      <c r="Q30" s="122"/>
      <c r="R30" s="122" t="s">
        <v>154</v>
      </c>
      <c r="S30" s="123" t="s">
        <v>119</v>
      </c>
      <c r="T30" s="121" t="s">
        <v>29</v>
      </c>
      <c r="U30" s="123" t="s">
        <v>29</v>
      </c>
    </row>
    <row r="31" spans="1:21">
      <c r="A31" s="121" t="s">
        <v>49</v>
      </c>
      <c r="B31" s="121" t="s">
        <v>87</v>
      </c>
      <c r="C31" s="122" t="s">
        <v>155</v>
      </c>
      <c r="D31" s="123" t="s">
        <v>26</v>
      </c>
      <c r="E31" s="123"/>
      <c r="F31" s="122" t="s">
        <v>156</v>
      </c>
      <c r="G31" s="124"/>
      <c r="H31" s="125" t="s">
        <v>29</v>
      </c>
      <c r="I31" s="123"/>
      <c r="J31" s="123" t="s">
        <v>52</v>
      </c>
      <c r="K31" s="123" t="s">
        <v>31</v>
      </c>
      <c r="L31" s="123" t="s">
        <v>31</v>
      </c>
      <c r="M31" s="126"/>
      <c r="N31" s="123"/>
      <c r="O31" s="123"/>
      <c r="P31" s="131" t="s">
        <v>157</v>
      </c>
      <c r="Q31" s="122" t="s">
        <v>158</v>
      </c>
      <c r="R31" s="122"/>
      <c r="S31" s="123" t="s">
        <v>119</v>
      </c>
      <c r="T31" s="121" t="s">
        <v>159</v>
      </c>
      <c r="U31" s="123"/>
    </row>
    <row r="32" spans="1:21">
      <c r="A32" s="111" t="s">
        <v>63</v>
      </c>
      <c r="B32" s="111" t="s">
        <v>24</v>
      </c>
      <c r="C32" s="112" t="s">
        <v>160</v>
      </c>
      <c r="D32" s="113" t="s">
        <v>26</v>
      </c>
      <c r="E32" s="113" t="s">
        <v>39</v>
      </c>
      <c r="F32" s="112" t="s">
        <v>161</v>
      </c>
      <c r="G32" s="114"/>
      <c r="H32" s="115" t="s">
        <v>29</v>
      </c>
      <c r="I32" s="113"/>
      <c r="J32" s="113" t="s">
        <v>30</v>
      </c>
      <c r="K32" s="113" t="s">
        <v>29</v>
      </c>
      <c r="L32" s="113" t="s">
        <v>31</v>
      </c>
      <c r="M32" s="116" t="s">
        <v>32</v>
      </c>
      <c r="N32" s="113" t="s">
        <v>162</v>
      </c>
      <c r="O32" s="113" t="s">
        <v>163</v>
      </c>
      <c r="P32" s="117" t="s">
        <v>117</v>
      </c>
      <c r="Q32" s="112"/>
      <c r="R32" s="112"/>
      <c r="S32" s="113" t="s">
        <v>119</v>
      </c>
      <c r="T32" s="118" t="s">
        <v>150</v>
      </c>
      <c r="U32" s="113" t="s">
        <v>29</v>
      </c>
    </row>
    <row r="33" spans="1:21">
      <c r="A33" s="111" t="s">
        <v>63</v>
      </c>
      <c r="B33" s="111" t="s">
        <v>24</v>
      </c>
      <c r="C33" s="112" t="s">
        <v>63</v>
      </c>
      <c r="D33" s="113" t="s">
        <v>26</v>
      </c>
      <c r="E33" s="113" t="s">
        <v>39</v>
      </c>
      <c r="F33" s="112" t="s">
        <v>164</v>
      </c>
      <c r="G33" s="114"/>
      <c r="H33" s="115" t="s">
        <v>29</v>
      </c>
      <c r="I33" s="113"/>
      <c r="J33" s="113" t="s">
        <v>30</v>
      </c>
      <c r="K33" s="113" t="s">
        <v>29</v>
      </c>
      <c r="L33" s="113" t="s">
        <v>31</v>
      </c>
      <c r="M33" s="116" t="s">
        <v>32</v>
      </c>
      <c r="N33" s="113" t="s">
        <v>66</v>
      </c>
      <c r="O33" s="113" t="s">
        <v>67</v>
      </c>
      <c r="P33" s="117" t="s">
        <v>117</v>
      </c>
      <c r="Q33" s="112" t="s">
        <v>165</v>
      </c>
      <c r="R33" s="112"/>
      <c r="S33" s="113" t="s">
        <v>119</v>
      </c>
      <c r="T33" s="118" t="s">
        <v>150</v>
      </c>
      <c r="U33" s="113" t="s">
        <v>29</v>
      </c>
    </row>
    <row r="34" spans="1:21">
      <c r="A34" s="111" t="s">
        <v>49</v>
      </c>
      <c r="B34" s="111" t="s">
        <v>24</v>
      </c>
      <c r="C34" s="112" t="s">
        <v>59</v>
      </c>
      <c r="D34" s="113" t="s">
        <v>26</v>
      </c>
      <c r="E34" s="113" t="s">
        <v>111</v>
      </c>
      <c r="F34" s="112" t="s">
        <v>166</v>
      </c>
      <c r="G34" s="114"/>
      <c r="H34" s="115" t="s">
        <v>29</v>
      </c>
      <c r="I34" s="113"/>
      <c r="J34" s="113" t="s">
        <v>30</v>
      </c>
      <c r="K34" s="113" t="s">
        <v>29</v>
      </c>
      <c r="L34" s="113" t="s">
        <v>31</v>
      </c>
      <c r="M34" s="116" t="s">
        <v>32</v>
      </c>
      <c r="N34" s="113" t="s">
        <v>66</v>
      </c>
      <c r="O34" s="113" t="s">
        <v>67</v>
      </c>
      <c r="P34" s="117" t="s">
        <v>167</v>
      </c>
      <c r="Q34" s="112" t="s">
        <v>168</v>
      </c>
      <c r="R34" s="112"/>
      <c r="S34" s="113" t="s">
        <v>119</v>
      </c>
      <c r="T34" s="118" t="s">
        <v>123</v>
      </c>
      <c r="U34" s="113" t="s">
        <v>31</v>
      </c>
    </row>
    <row r="35" spans="1:21">
      <c r="A35" s="111" t="s">
        <v>63</v>
      </c>
      <c r="B35" s="111" t="s">
        <v>24</v>
      </c>
      <c r="C35" s="112" t="s">
        <v>63</v>
      </c>
      <c r="D35" s="113" t="s">
        <v>26</v>
      </c>
      <c r="E35" s="113" t="s">
        <v>27</v>
      </c>
      <c r="F35" s="112" t="s">
        <v>169</v>
      </c>
      <c r="G35" s="114">
        <v>2694.183</v>
      </c>
      <c r="H35" s="115" t="s">
        <v>29</v>
      </c>
      <c r="I35" s="113">
        <v>154</v>
      </c>
      <c r="J35" s="113" t="s">
        <v>30</v>
      </c>
      <c r="K35" s="113" t="s">
        <v>29</v>
      </c>
      <c r="L35" s="113" t="s">
        <v>31</v>
      </c>
      <c r="M35" s="116" t="s">
        <v>32</v>
      </c>
      <c r="N35" s="113" t="s">
        <v>66</v>
      </c>
      <c r="O35" s="113" t="s">
        <v>67</v>
      </c>
      <c r="P35" s="117" t="s">
        <v>170</v>
      </c>
      <c r="Q35" s="112"/>
      <c r="R35" s="112"/>
      <c r="S35" s="113" t="s">
        <v>171</v>
      </c>
      <c r="T35" s="118" t="s">
        <v>69</v>
      </c>
      <c r="U35" s="113" t="s">
        <v>29</v>
      </c>
    </row>
    <row r="36" spans="1:21">
      <c r="A36" s="111" t="s">
        <v>42</v>
      </c>
      <c r="B36" s="111" t="s">
        <v>24</v>
      </c>
      <c r="C36" s="112" t="s">
        <v>172</v>
      </c>
      <c r="D36" s="113" t="s">
        <v>26</v>
      </c>
      <c r="E36" s="113" t="s">
        <v>39</v>
      </c>
      <c r="F36" s="112" t="s">
        <v>173</v>
      </c>
      <c r="G36" s="114">
        <v>1663.7936</v>
      </c>
      <c r="H36" s="115" t="s">
        <v>29</v>
      </c>
      <c r="I36" s="113">
        <v>480</v>
      </c>
      <c r="J36" s="113" t="s">
        <v>30</v>
      </c>
      <c r="K36" s="113" t="s">
        <v>29</v>
      </c>
      <c r="L36" s="113" t="s">
        <v>31</v>
      </c>
      <c r="M36" s="116" t="s">
        <v>32</v>
      </c>
      <c r="N36" s="113" t="s">
        <v>66</v>
      </c>
      <c r="O36" s="113" t="s">
        <v>67</v>
      </c>
      <c r="P36" s="117" t="s">
        <v>174</v>
      </c>
      <c r="Q36" s="112"/>
      <c r="R36" s="112"/>
      <c r="S36" s="113" t="s">
        <v>171</v>
      </c>
      <c r="T36" s="118" t="s">
        <v>86</v>
      </c>
      <c r="U36" s="113"/>
    </row>
    <row r="37" spans="1:21">
      <c r="A37" s="111" t="s">
        <v>42</v>
      </c>
      <c r="B37" s="111" t="s">
        <v>24</v>
      </c>
      <c r="C37" s="112" t="s">
        <v>175</v>
      </c>
      <c r="D37" s="113" t="s">
        <v>26</v>
      </c>
      <c r="E37" s="113" t="s">
        <v>111</v>
      </c>
      <c r="F37" s="112" t="s">
        <v>176</v>
      </c>
      <c r="G37" s="114"/>
      <c r="H37" s="115" t="s">
        <v>29</v>
      </c>
      <c r="I37" s="113"/>
      <c r="J37" s="113" t="s">
        <v>30</v>
      </c>
      <c r="K37" s="113" t="s">
        <v>29</v>
      </c>
      <c r="L37" s="113" t="s">
        <v>31</v>
      </c>
      <c r="M37" s="116" t="s">
        <v>32</v>
      </c>
      <c r="N37" s="113" t="s">
        <v>66</v>
      </c>
      <c r="O37" s="113" t="s">
        <v>67</v>
      </c>
      <c r="P37" s="117" t="s">
        <v>177</v>
      </c>
      <c r="Q37" s="112"/>
      <c r="R37" s="112"/>
      <c r="S37" s="113" t="s">
        <v>171</v>
      </c>
      <c r="T37" s="118" t="s">
        <v>86</v>
      </c>
      <c r="U37" s="113"/>
    </row>
    <row r="38" spans="1:21">
      <c r="A38" s="121" t="s">
        <v>23</v>
      </c>
      <c r="B38" s="121" t="s">
        <v>24</v>
      </c>
      <c r="C38" s="122" t="s">
        <v>178</v>
      </c>
      <c r="D38" s="123" t="s">
        <v>26</v>
      </c>
      <c r="E38" s="123"/>
      <c r="F38" s="122" t="s">
        <v>179</v>
      </c>
      <c r="G38" s="124"/>
      <c r="H38" s="125" t="s">
        <v>29</v>
      </c>
      <c r="I38" s="123"/>
      <c r="J38" s="123" t="s">
        <v>30</v>
      </c>
      <c r="K38" s="123" t="s">
        <v>31</v>
      </c>
      <c r="L38" s="123" t="s">
        <v>31</v>
      </c>
      <c r="M38" s="126"/>
      <c r="N38" s="123"/>
      <c r="O38" s="123"/>
      <c r="P38" s="127" t="s">
        <v>180</v>
      </c>
      <c r="Q38" s="122"/>
      <c r="R38" s="122"/>
      <c r="S38" s="123" t="s">
        <v>171</v>
      </c>
      <c r="T38" s="121" t="s">
        <v>29</v>
      </c>
      <c r="U38" s="123" t="s">
        <v>29</v>
      </c>
    </row>
    <row r="39" spans="1:21">
      <c r="A39" s="111" t="s">
        <v>181</v>
      </c>
      <c r="B39" s="111" t="s">
        <v>24</v>
      </c>
      <c r="C39" s="112" t="s">
        <v>182</v>
      </c>
      <c r="D39" s="113" t="s">
        <v>26</v>
      </c>
      <c r="E39" s="113" t="s">
        <v>39</v>
      </c>
      <c r="F39" s="133" t="s">
        <v>183</v>
      </c>
      <c r="G39" s="114"/>
      <c r="H39" s="115"/>
      <c r="I39" s="113"/>
      <c r="J39" s="113" t="s">
        <v>30</v>
      </c>
      <c r="K39" s="113" t="s">
        <v>29</v>
      </c>
      <c r="L39" s="113" t="s">
        <v>31</v>
      </c>
      <c r="M39" s="116" t="s">
        <v>32</v>
      </c>
      <c r="N39" s="113" t="s">
        <v>66</v>
      </c>
      <c r="O39" s="113" t="s">
        <v>67</v>
      </c>
      <c r="P39" s="134"/>
      <c r="Q39" s="112"/>
      <c r="R39" s="112"/>
      <c r="S39" s="113"/>
      <c r="T39" s="118"/>
      <c r="U39" s="113"/>
    </row>
    <row r="40" spans="1:21">
      <c r="A40" s="111" t="s">
        <v>23</v>
      </c>
      <c r="B40" s="111" t="s">
        <v>87</v>
      </c>
      <c r="C40" s="112" t="s">
        <v>184</v>
      </c>
      <c r="D40" s="113" t="s">
        <v>26</v>
      </c>
      <c r="E40" s="113" t="s">
        <v>27</v>
      </c>
      <c r="F40" s="135" t="s">
        <v>185</v>
      </c>
      <c r="G40" s="114"/>
      <c r="H40" s="115"/>
      <c r="I40" s="113"/>
      <c r="J40" s="113" t="s">
        <v>30</v>
      </c>
      <c r="K40" s="113" t="s">
        <v>29</v>
      </c>
      <c r="L40" s="113" t="s">
        <v>31</v>
      </c>
      <c r="M40" s="116" t="s">
        <v>32</v>
      </c>
      <c r="N40" s="113" t="s">
        <v>67</v>
      </c>
      <c r="O40" s="113" t="s">
        <v>186</v>
      </c>
      <c r="P40" s="120" t="s">
        <v>187</v>
      </c>
      <c r="Q40" s="112"/>
      <c r="R40" s="112"/>
      <c r="S40" s="112"/>
      <c r="T40" s="118"/>
      <c r="U40" s="112"/>
    </row>
    <row r="41" spans="1:21">
      <c r="A41" s="111" t="s">
        <v>63</v>
      </c>
      <c r="B41" s="111" t="s">
        <v>24</v>
      </c>
      <c r="C41" s="112" t="s">
        <v>63</v>
      </c>
      <c r="D41" s="113" t="s">
        <v>26</v>
      </c>
      <c r="E41" s="113" t="s">
        <v>188</v>
      </c>
      <c r="F41" s="133" t="s">
        <v>189</v>
      </c>
      <c r="G41" s="114"/>
      <c r="H41" s="115"/>
      <c r="I41" s="113"/>
      <c r="J41" s="113" t="s">
        <v>30</v>
      </c>
      <c r="K41" s="113" t="s">
        <v>29</v>
      </c>
      <c r="L41" s="113" t="s">
        <v>31</v>
      </c>
      <c r="M41" s="116" t="s">
        <v>32</v>
      </c>
      <c r="N41" s="113" t="s">
        <v>45</v>
      </c>
      <c r="O41" s="113"/>
      <c r="P41" s="128" t="s">
        <v>190</v>
      </c>
      <c r="Q41" s="112"/>
      <c r="R41" s="112"/>
      <c r="S41" s="112"/>
      <c r="T41" s="118"/>
      <c r="U41" s="112"/>
    </row>
    <row r="42" spans="1:21">
      <c r="A42" s="111" t="s">
        <v>23</v>
      </c>
      <c r="B42" s="111" t="s">
        <v>24</v>
      </c>
      <c r="C42" s="112" t="s">
        <v>23</v>
      </c>
      <c r="D42" s="113" t="s">
        <v>26</v>
      </c>
      <c r="E42" s="113" t="s">
        <v>191</v>
      </c>
      <c r="F42" s="135" t="s">
        <v>192</v>
      </c>
      <c r="G42" s="114"/>
      <c r="H42" s="115"/>
      <c r="I42" s="113"/>
      <c r="J42" s="113" t="s">
        <v>30</v>
      </c>
      <c r="K42" s="113" t="s">
        <v>29</v>
      </c>
      <c r="L42" s="113" t="s">
        <v>31</v>
      </c>
      <c r="M42" s="116" t="s">
        <v>32</v>
      </c>
      <c r="N42" s="113" t="s">
        <v>45</v>
      </c>
      <c r="O42" s="113" t="s">
        <v>193</v>
      </c>
      <c r="P42" s="128" t="s">
        <v>194</v>
      </c>
      <c r="Q42" s="112"/>
      <c r="R42" s="112"/>
      <c r="S42" s="112"/>
      <c r="T42" s="118"/>
      <c r="U42" s="112"/>
    </row>
    <row r="43" spans="1:21">
      <c r="A43" s="121" t="s">
        <v>37</v>
      </c>
      <c r="B43" s="121" t="s">
        <v>87</v>
      </c>
      <c r="C43" s="122" t="s">
        <v>101</v>
      </c>
      <c r="D43" s="123" t="s">
        <v>26</v>
      </c>
      <c r="E43" s="123"/>
      <c r="F43" s="122" t="s">
        <v>195</v>
      </c>
      <c r="G43" s="124"/>
      <c r="H43" s="125" t="s">
        <v>29</v>
      </c>
      <c r="I43" s="123">
        <v>120</v>
      </c>
      <c r="J43" s="123" t="s">
        <v>103</v>
      </c>
      <c r="K43" s="123" t="s">
        <v>29</v>
      </c>
      <c r="L43" s="123" t="s">
        <v>31</v>
      </c>
      <c r="M43" s="126"/>
      <c r="N43" s="123"/>
      <c r="O43" s="123"/>
      <c r="P43" s="131" t="s">
        <v>196</v>
      </c>
      <c r="Q43" s="122"/>
      <c r="R43" s="122"/>
      <c r="S43" s="123" t="s">
        <v>171</v>
      </c>
      <c r="T43" s="121" t="s">
        <v>197</v>
      </c>
      <c r="U43" s="123"/>
    </row>
    <row r="44" spans="1:21">
      <c r="A44" s="121" t="s">
        <v>49</v>
      </c>
      <c r="B44" s="121" t="s">
        <v>87</v>
      </c>
      <c r="C44" s="122" t="s">
        <v>198</v>
      </c>
      <c r="D44" s="123" t="s">
        <v>26</v>
      </c>
      <c r="E44" s="123"/>
      <c r="F44" s="122" t="s">
        <v>199</v>
      </c>
      <c r="G44" s="124"/>
      <c r="H44" s="125" t="s">
        <v>29</v>
      </c>
      <c r="I44" s="123"/>
      <c r="J44" s="123"/>
      <c r="K44" s="123"/>
      <c r="L44" s="123" t="s">
        <v>31</v>
      </c>
      <c r="M44" s="126"/>
      <c r="N44" s="123"/>
      <c r="O44" s="123"/>
      <c r="P44" s="131" t="s">
        <v>200</v>
      </c>
      <c r="Q44" s="122" t="s">
        <v>201</v>
      </c>
      <c r="R44" s="122"/>
      <c r="S44" s="123" t="s">
        <v>171</v>
      </c>
      <c r="T44" s="121" t="s">
        <v>159</v>
      </c>
      <c r="U44" s="123"/>
    </row>
    <row r="45" spans="1:21" s="143" customFormat="1">
      <c r="A45" s="136" t="s">
        <v>202</v>
      </c>
      <c r="B45" s="136" t="s">
        <v>24</v>
      </c>
      <c r="C45" s="137" t="s">
        <v>203</v>
      </c>
      <c r="D45" s="138" t="s">
        <v>26</v>
      </c>
      <c r="E45" s="138"/>
      <c r="F45" s="137" t="s">
        <v>204</v>
      </c>
      <c r="G45" s="139">
        <v>7583.9079000000002</v>
      </c>
      <c r="H45" s="140" t="s">
        <v>29</v>
      </c>
      <c r="I45" s="138">
        <v>120</v>
      </c>
      <c r="J45" s="138" t="s">
        <v>30</v>
      </c>
      <c r="K45" s="138" t="s">
        <v>29</v>
      </c>
      <c r="L45" s="138" t="s">
        <v>31</v>
      </c>
      <c r="M45" s="141"/>
      <c r="N45" s="138"/>
      <c r="O45" s="138"/>
      <c r="P45" s="142" t="s">
        <v>205</v>
      </c>
      <c r="Q45" s="137"/>
      <c r="R45" s="137"/>
      <c r="S45" s="138" t="s">
        <v>206</v>
      </c>
      <c r="T45" s="136" t="s">
        <v>207</v>
      </c>
      <c r="U45" s="138" t="s">
        <v>33</v>
      </c>
    </row>
    <row r="46" spans="1:21" s="143" customFormat="1">
      <c r="A46" s="136" t="s">
        <v>37</v>
      </c>
      <c r="B46" s="136" t="s">
        <v>24</v>
      </c>
      <c r="C46" s="137" t="s">
        <v>38</v>
      </c>
      <c r="D46" s="138" t="s">
        <v>26</v>
      </c>
      <c r="E46" s="138"/>
      <c r="F46" s="137" t="s">
        <v>208</v>
      </c>
      <c r="G46" s="139">
        <v>6238.5042000000003</v>
      </c>
      <c r="H46" s="140" t="s">
        <v>29</v>
      </c>
      <c r="I46" s="138">
        <v>120</v>
      </c>
      <c r="J46" s="138" t="s">
        <v>30</v>
      </c>
      <c r="K46" s="138" t="s">
        <v>29</v>
      </c>
      <c r="L46" s="138" t="s">
        <v>31</v>
      </c>
      <c r="M46" s="141"/>
      <c r="N46" s="138"/>
      <c r="O46" s="138"/>
      <c r="P46" s="142" t="s">
        <v>205</v>
      </c>
      <c r="Q46" s="137"/>
      <c r="R46" s="137" t="s">
        <v>209</v>
      </c>
      <c r="S46" s="138" t="s">
        <v>206</v>
      </c>
      <c r="T46" s="136" t="s">
        <v>207</v>
      </c>
      <c r="U46" s="138" t="s">
        <v>29</v>
      </c>
    </row>
    <row r="47" spans="1:21" s="143" customFormat="1">
      <c r="A47" s="136" t="s">
        <v>202</v>
      </c>
      <c r="B47" s="136" t="s">
        <v>24</v>
      </c>
      <c r="C47" s="137" t="s">
        <v>210</v>
      </c>
      <c r="D47" s="138" t="s">
        <v>26</v>
      </c>
      <c r="E47" s="138"/>
      <c r="F47" s="137" t="s">
        <v>211</v>
      </c>
      <c r="G47" s="139">
        <v>5936.3208000000004</v>
      </c>
      <c r="H47" s="140" t="s">
        <v>29</v>
      </c>
      <c r="I47" s="138">
        <v>100</v>
      </c>
      <c r="J47" s="138" t="s">
        <v>52</v>
      </c>
      <c r="K47" s="138" t="s">
        <v>29</v>
      </c>
      <c r="L47" s="138" t="s">
        <v>31</v>
      </c>
      <c r="M47" s="141"/>
      <c r="N47" s="138"/>
      <c r="O47" s="138"/>
      <c r="P47" s="142" t="s">
        <v>205</v>
      </c>
      <c r="Q47" s="137" t="s">
        <v>212</v>
      </c>
      <c r="R47" s="137" t="s">
        <v>213</v>
      </c>
      <c r="S47" s="138" t="s">
        <v>206</v>
      </c>
      <c r="T47" s="136" t="s">
        <v>207</v>
      </c>
      <c r="U47" s="138" t="s">
        <v>33</v>
      </c>
    </row>
    <row r="48" spans="1:21" s="143" customFormat="1">
      <c r="A48" s="136" t="s">
        <v>202</v>
      </c>
      <c r="B48" s="136" t="s">
        <v>24</v>
      </c>
      <c r="C48" s="137" t="s">
        <v>210</v>
      </c>
      <c r="D48" s="138" t="s">
        <v>26</v>
      </c>
      <c r="E48" s="138"/>
      <c r="F48" s="137" t="s">
        <v>214</v>
      </c>
      <c r="G48" s="139">
        <v>5588.8053</v>
      </c>
      <c r="H48" s="140" t="s">
        <v>29</v>
      </c>
      <c r="I48" s="138">
        <v>240</v>
      </c>
      <c r="J48" s="138" t="s">
        <v>52</v>
      </c>
      <c r="K48" s="138" t="s">
        <v>29</v>
      </c>
      <c r="L48" s="138" t="s">
        <v>31</v>
      </c>
      <c r="M48" s="141"/>
      <c r="N48" s="138"/>
      <c r="O48" s="138"/>
      <c r="P48" s="142" t="s">
        <v>205</v>
      </c>
      <c r="Q48" s="137" t="s">
        <v>212</v>
      </c>
      <c r="R48" s="137" t="s">
        <v>215</v>
      </c>
      <c r="S48" s="144" t="s">
        <v>206</v>
      </c>
      <c r="T48" s="145" t="s">
        <v>207</v>
      </c>
      <c r="U48" s="144" t="s">
        <v>33</v>
      </c>
    </row>
    <row r="49" spans="1:21" s="143" customFormat="1">
      <c r="A49" s="136" t="s">
        <v>202</v>
      </c>
      <c r="B49" s="136" t="s">
        <v>24</v>
      </c>
      <c r="C49" s="137" t="s">
        <v>216</v>
      </c>
      <c r="D49" s="138" t="s">
        <v>26</v>
      </c>
      <c r="E49" s="138"/>
      <c r="F49" s="137" t="s">
        <v>217</v>
      </c>
      <c r="G49" s="139">
        <v>4947.8018000000002</v>
      </c>
      <c r="H49" s="140" t="s">
        <v>29</v>
      </c>
      <c r="I49" s="138">
        <v>120</v>
      </c>
      <c r="J49" s="138" t="s">
        <v>30</v>
      </c>
      <c r="K49" s="138" t="s">
        <v>29</v>
      </c>
      <c r="L49" s="138" t="s">
        <v>31</v>
      </c>
      <c r="M49" s="141"/>
      <c r="N49" s="138"/>
      <c r="O49" s="138"/>
      <c r="P49" s="142" t="s">
        <v>205</v>
      </c>
      <c r="Q49" s="137" t="s">
        <v>218</v>
      </c>
      <c r="R49" s="137"/>
      <c r="S49" s="138" t="s">
        <v>206</v>
      </c>
      <c r="T49" s="136" t="s">
        <v>207</v>
      </c>
      <c r="U49" s="138" t="s">
        <v>33</v>
      </c>
    </row>
    <row r="50" spans="1:21" s="143" customFormat="1">
      <c r="A50" s="136" t="s">
        <v>202</v>
      </c>
      <c r="B50" s="136" t="s">
        <v>24</v>
      </c>
      <c r="C50" s="137" t="s">
        <v>216</v>
      </c>
      <c r="D50" s="138" t="s">
        <v>26</v>
      </c>
      <c r="E50" s="138"/>
      <c r="F50" s="137" t="s">
        <v>219</v>
      </c>
      <c r="G50" s="139">
        <v>4879.1025</v>
      </c>
      <c r="H50" s="140" t="s">
        <v>29</v>
      </c>
      <c r="I50" s="138">
        <v>60</v>
      </c>
      <c r="J50" s="138" t="s">
        <v>103</v>
      </c>
      <c r="K50" s="138" t="s">
        <v>31</v>
      </c>
      <c r="L50" s="138" t="s">
        <v>31</v>
      </c>
      <c r="M50" s="141"/>
      <c r="N50" s="138"/>
      <c r="O50" s="138"/>
      <c r="P50" s="142" t="s">
        <v>205</v>
      </c>
      <c r="Q50" s="137" t="s">
        <v>212</v>
      </c>
      <c r="R50" s="137" t="s">
        <v>220</v>
      </c>
      <c r="S50" s="144" t="s">
        <v>206</v>
      </c>
      <c r="T50" s="145" t="s">
        <v>207</v>
      </c>
      <c r="U50" s="144" t="s">
        <v>33</v>
      </c>
    </row>
    <row r="51" spans="1:21" s="143" customFormat="1">
      <c r="A51" s="136" t="s">
        <v>202</v>
      </c>
      <c r="B51" s="136" t="s">
        <v>24</v>
      </c>
      <c r="C51" s="137" t="s">
        <v>221</v>
      </c>
      <c r="D51" s="138" t="s">
        <v>26</v>
      </c>
      <c r="E51" s="138"/>
      <c r="F51" s="137" t="s">
        <v>222</v>
      </c>
      <c r="G51" s="139">
        <v>4474.2029000000002</v>
      </c>
      <c r="H51" s="140" t="s">
        <v>29</v>
      </c>
      <c r="I51" s="138">
        <v>120</v>
      </c>
      <c r="J51" s="138" t="s">
        <v>103</v>
      </c>
      <c r="K51" s="138" t="s">
        <v>29</v>
      </c>
      <c r="L51" s="138" t="s">
        <v>31</v>
      </c>
      <c r="M51" s="141"/>
      <c r="N51" s="138"/>
      <c r="O51" s="138"/>
      <c r="P51" s="142" t="s">
        <v>205</v>
      </c>
      <c r="Q51" s="137" t="s">
        <v>212</v>
      </c>
      <c r="R51" s="137"/>
      <c r="S51" s="138" t="s">
        <v>206</v>
      </c>
      <c r="T51" s="136" t="s">
        <v>207</v>
      </c>
      <c r="U51" s="138" t="s">
        <v>33</v>
      </c>
    </row>
    <row r="52" spans="1:21" s="143" customFormat="1">
      <c r="A52" s="136" t="s">
        <v>42</v>
      </c>
      <c r="B52" s="136" t="s">
        <v>24</v>
      </c>
      <c r="C52" s="137" t="s">
        <v>223</v>
      </c>
      <c r="D52" s="138" t="s">
        <v>26</v>
      </c>
      <c r="E52" s="138"/>
      <c r="F52" s="137" t="s">
        <v>224</v>
      </c>
      <c r="G52" s="139">
        <v>4308.6869999999999</v>
      </c>
      <c r="H52" s="140" t="s">
        <v>29</v>
      </c>
      <c r="I52" s="138">
        <v>600</v>
      </c>
      <c r="J52" s="138" t="s">
        <v>52</v>
      </c>
      <c r="K52" s="138" t="s">
        <v>29</v>
      </c>
      <c r="L52" s="138" t="s">
        <v>31</v>
      </c>
      <c r="M52" s="141"/>
      <c r="N52" s="138"/>
      <c r="O52" s="138"/>
      <c r="P52" s="142" t="s">
        <v>205</v>
      </c>
      <c r="Q52" s="137"/>
      <c r="R52" s="137"/>
      <c r="S52" s="138" t="s">
        <v>206</v>
      </c>
      <c r="T52" s="136" t="s">
        <v>207</v>
      </c>
      <c r="U52" s="138" t="s">
        <v>29</v>
      </c>
    </row>
    <row r="53" spans="1:21" s="143" customFormat="1">
      <c r="A53" s="136" t="s">
        <v>42</v>
      </c>
      <c r="B53" s="136" t="s">
        <v>24</v>
      </c>
      <c r="C53" s="137" t="s">
        <v>225</v>
      </c>
      <c r="D53" s="138" t="s">
        <v>26</v>
      </c>
      <c r="E53" s="138"/>
      <c r="F53" s="137" t="s">
        <v>226</v>
      </c>
      <c r="G53" s="139">
        <v>2540.9477000000002</v>
      </c>
      <c r="H53" s="140" t="s">
        <v>29</v>
      </c>
      <c r="I53" s="138">
        <v>300</v>
      </c>
      <c r="J53" s="138" t="s">
        <v>103</v>
      </c>
      <c r="K53" s="138" t="s">
        <v>29</v>
      </c>
      <c r="L53" s="138" t="s">
        <v>31</v>
      </c>
      <c r="M53" s="141"/>
      <c r="N53" s="138"/>
      <c r="O53" s="138"/>
      <c r="P53" s="142" t="s">
        <v>205</v>
      </c>
      <c r="Q53" s="137"/>
      <c r="R53" s="137"/>
      <c r="S53" s="144" t="s">
        <v>206</v>
      </c>
      <c r="T53" s="145" t="s">
        <v>207</v>
      </c>
      <c r="U53" s="144" t="s">
        <v>29</v>
      </c>
    </row>
    <row r="54" spans="1:21" s="143" customFormat="1">
      <c r="A54" s="136" t="s">
        <v>37</v>
      </c>
      <c r="B54" s="136" t="s">
        <v>24</v>
      </c>
      <c r="C54" s="137" t="s">
        <v>37</v>
      </c>
      <c r="D54" s="138" t="s">
        <v>26</v>
      </c>
      <c r="E54" s="138"/>
      <c r="F54" s="137" t="s">
        <v>227</v>
      </c>
      <c r="G54" s="139">
        <v>2414.5385999999999</v>
      </c>
      <c r="H54" s="140" t="s">
        <v>29</v>
      </c>
      <c r="I54" s="138">
        <v>120</v>
      </c>
      <c r="J54" s="138" t="s">
        <v>103</v>
      </c>
      <c r="K54" s="138" t="s">
        <v>29</v>
      </c>
      <c r="L54" s="138" t="s">
        <v>31</v>
      </c>
      <c r="M54" s="141"/>
      <c r="N54" s="138"/>
      <c r="O54" s="138"/>
      <c r="P54" s="142" t="s">
        <v>205</v>
      </c>
      <c r="Q54" s="137"/>
      <c r="R54" s="137"/>
      <c r="S54" s="144" t="s">
        <v>206</v>
      </c>
      <c r="T54" s="145" t="s">
        <v>228</v>
      </c>
      <c r="U54" s="144" t="s">
        <v>29</v>
      </c>
    </row>
    <row r="55" spans="1:21" s="143" customFormat="1" ht="29.25">
      <c r="A55" s="136" t="s">
        <v>42</v>
      </c>
      <c r="B55" s="136" t="s">
        <v>24</v>
      </c>
      <c r="C55" s="137" t="s">
        <v>172</v>
      </c>
      <c r="D55" s="138" t="s">
        <v>26</v>
      </c>
      <c r="E55" s="138"/>
      <c r="F55" s="137" t="s">
        <v>229</v>
      </c>
      <c r="G55" s="139">
        <v>1939.5921000000001</v>
      </c>
      <c r="H55" s="140" t="s">
        <v>29</v>
      </c>
      <c r="I55" s="138">
        <v>480</v>
      </c>
      <c r="J55" s="138" t="s">
        <v>52</v>
      </c>
      <c r="K55" s="138" t="s">
        <v>29</v>
      </c>
      <c r="L55" s="138" t="s">
        <v>31</v>
      </c>
      <c r="M55" s="141"/>
      <c r="N55" s="138"/>
      <c r="O55" s="138"/>
      <c r="P55" s="142" t="s">
        <v>230</v>
      </c>
      <c r="Q55" s="137"/>
      <c r="R55" s="137" t="s">
        <v>231</v>
      </c>
      <c r="S55" s="144" t="s">
        <v>206</v>
      </c>
      <c r="T55" s="145" t="s">
        <v>207</v>
      </c>
      <c r="U55" s="144" t="s">
        <v>29</v>
      </c>
    </row>
    <row r="56" spans="1:21" s="143" customFormat="1">
      <c r="A56" s="136" t="s">
        <v>202</v>
      </c>
      <c r="B56" s="136" t="s">
        <v>24</v>
      </c>
      <c r="C56" s="137" t="s">
        <v>232</v>
      </c>
      <c r="D56" s="138" t="s">
        <v>26</v>
      </c>
      <c r="E56" s="138"/>
      <c r="F56" s="137" t="s">
        <v>233</v>
      </c>
      <c r="G56" s="139"/>
      <c r="H56" s="140" t="s">
        <v>29</v>
      </c>
      <c r="I56" s="138"/>
      <c r="J56" s="138"/>
      <c r="K56" s="138"/>
      <c r="L56" s="138" t="s">
        <v>31</v>
      </c>
      <c r="M56" s="141"/>
      <c r="N56" s="138"/>
      <c r="O56" s="138"/>
      <c r="P56" s="142" t="s">
        <v>205</v>
      </c>
      <c r="Q56" s="137" t="s">
        <v>218</v>
      </c>
      <c r="R56" s="137"/>
      <c r="S56" s="144" t="s">
        <v>206</v>
      </c>
      <c r="T56" s="145" t="s">
        <v>234</v>
      </c>
      <c r="U56" s="144" t="s">
        <v>33</v>
      </c>
    </row>
    <row r="57" spans="1:21" s="143" customFormat="1">
      <c r="A57" s="136" t="s">
        <v>49</v>
      </c>
      <c r="B57" s="136" t="s">
        <v>87</v>
      </c>
      <c r="C57" s="137" t="s">
        <v>235</v>
      </c>
      <c r="D57" s="138" t="s">
        <v>26</v>
      </c>
      <c r="E57" s="138"/>
      <c r="F57" s="137" t="s">
        <v>236</v>
      </c>
      <c r="G57" s="139"/>
      <c r="H57" s="140" t="s">
        <v>29</v>
      </c>
      <c r="I57" s="138"/>
      <c r="J57" s="138"/>
      <c r="K57" s="138"/>
      <c r="L57" s="138" t="s">
        <v>31</v>
      </c>
      <c r="M57" s="141"/>
      <c r="N57" s="138"/>
      <c r="O57" s="138"/>
      <c r="P57" s="142" t="s">
        <v>237</v>
      </c>
      <c r="Q57" s="137" t="s">
        <v>238</v>
      </c>
      <c r="R57" s="137"/>
      <c r="S57" s="144" t="s">
        <v>206</v>
      </c>
      <c r="T57" s="145" t="s">
        <v>159</v>
      </c>
      <c r="U57" s="144"/>
    </row>
    <row r="58" spans="1:21" s="143" customFormat="1">
      <c r="A58" s="136" t="s">
        <v>37</v>
      </c>
      <c r="B58" s="136" t="s">
        <v>24</v>
      </c>
      <c r="C58" s="137" t="s">
        <v>151</v>
      </c>
      <c r="D58" s="138" t="s">
        <v>26</v>
      </c>
      <c r="E58" s="138"/>
      <c r="F58" s="137" t="s">
        <v>239</v>
      </c>
      <c r="G58" s="139"/>
      <c r="H58" s="140" t="s">
        <v>29</v>
      </c>
      <c r="I58" s="138">
        <v>120</v>
      </c>
      <c r="J58" s="138" t="s">
        <v>52</v>
      </c>
      <c r="K58" s="138" t="s">
        <v>29</v>
      </c>
      <c r="L58" s="138" t="s">
        <v>31</v>
      </c>
      <c r="M58" s="141"/>
      <c r="N58" s="138"/>
      <c r="O58" s="138"/>
      <c r="P58" s="142" t="s">
        <v>240</v>
      </c>
      <c r="Q58" s="137"/>
      <c r="R58" s="137" t="s">
        <v>241</v>
      </c>
      <c r="S58" s="138" t="s">
        <v>206</v>
      </c>
      <c r="T58" s="136" t="s">
        <v>242</v>
      </c>
      <c r="U58" s="138"/>
    </row>
    <row r="59" spans="1:21" s="143" customFormat="1">
      <c r="A59" s="136" t="s">
        <v>37</v>
      </c>
      <c r="B59" s="136" t="s">
        <v>87</v>
      </c>
      <c r="C59" s="137" t="s">
        <v>243</v>
      </c>
      <c r="D59" s="138" t="s">
        <v>26</v>
      </c>
      <c r="E59" s="138"/>
      <c r="F59" s="137" t="s">
        <v>244</v>
      </c>
      <c r="G59" s="139"/>
      <c r="H59" s="140" t="s">
        <v>29</v>
      </c>
      <c r="I59" s="138">
        <v>120</v>
      </c>
      <c r="J59" s="138" t="s">
        <v>103</v>
      </c>
      <c r="K59" s="138" t="s">
        <v>29</v>
      </c>
      <c r="L59" s="138" t="s">
        <v>31</v>
      </c>
      <c r="M59" s="141"/>
      <c r="N59" s="138"/>
      <c r="O59" s="138"/>
      <c r="P59" s="142" t="s">
        <v>245</v>
      </c>
      <c r="Q59" s="137"/>
      <c r="R59" s="137"/>
      <c r="S59" s="144" t="s">
        <v>206</v>
      </c>
      <c r="T59" s="145" t="s">
        <v>246</v>
      </c>
      <c r="U59" s="144"/>
    </row>
    <row r="60" spans="1:21" s="143" customFormat="1">
      <c r="A60" s="136" t="s">
        <v>202</v>
      </c>
      <c r="B60" s="136" t="s">
        <v>24</v>
      </c>
      <c r="C60" s="137" t="s">
        <v>221</v>
      </c>
      <c r="D60" s="138" t="s">
        <v>26</v>
      </c>
      <c r="E60" s="138"/>
      <c r="F60" s="137" t="s">
        <v>247</v>
      </c>
      <c r="G60" s="139">
        <v>5651.8846999999996</v>
      </c>
      <c r="H60" s="140" t="s">
        <v>29</v>
      </c>
      <c r="I60" s="138">
        <v>105</v>
      </c>
      <c r="J60" s="138" t="s">
        <v>103</v>
      </c>
      <c r="K60" s="138" t="s">
        <v>29</v>
      </c>
      <c r="L60" s="138" t="s">
        <v>31</v>
      </c>
      <c r="M60" s="141"/>
      <c r="N60" s="138"/>
      <c r="O60" s="138"/>
      <c r="P60" s="142"/>
      <c r="Q60" s="137" t="s">
        <v>212</v>
      </c>
      <c r="R60" s="137"/>
      <c r="S60" s="144" t="s">
        <v>248</v>
      </c>
      <c r="T60" s="145" t="s">
        <v>207</v>
      </c>
      <c r="U60" s="144" t="s">
        <v>33</v>
      </c>
    </row>
    <row r="61" spans="1:21" s="143" customFormat="1">
      <c r="A61" s="136" t="s">
        <v>202</v>
      </c>
      <c r="B61" s="136" t="s">
        <v>24</v>
      </c>
      <c r="C61" s="137" t="s">
        <v>216</v>
      </c>
      <c r="D61" s="138" t="s">
        <v>26</v>
      </c>
      <c r="E61" s="138"/>
      <c r="F61" s="137" t="s">
        <v>249</v>
      </c>
      <c r="G61" s="139">
        <v>5102.3134</v>
      </c>
      <c r="H61" s="140" t="s">
        <v>29</v>
      </c>
      <c r="I61" s="138">
        <v>116</v>
      </c>
      <c r="J61" s="138" t="s">
        <v>30</v>
      </c>
      <c r="K61" s="138" t="s">
        <v>29</v>
      </c>
      <c r="L61" s="138" t="s">
        <v>31</v>
      </c>
      <c r="M61" s="141"/>
      <c r="N61" s="138"/>
      <c r="O61" s="138"/>
      <c r="P61" s="142"/>
      <c r="Q61" s="137" t="s">
        <v>218</v>
      </c>
      <c r="R61" s="137"/>
      <c r="S61" s="144" t="s">
        <v>248</v>
      </c>
      <c r="T61" s="145" t="s">
        <v>207</v>
      </c>
      <c r="U61" s="144" t="s">
        <v>33</v>
      </c>
    </row>
    <row r="62" spans="1:21" s="143" customFormat="1">
      <c r="A62" s="136" t="s">
        <v>202</v>
      </c>
      <c r="B62" s="136" t="s">
        <v>24</v>
      </c>
      <c r="C62" s="137" t="s">
        <v>250</v>
      </c>
      <c r="D62" s="138" t="s">
        <v>26</v>
      </c>
      <c r="E62" s="138"/>
      <c r="F62" s="137" t="s">
        <v>251</v>
      </c>
      <c r="G62" s="139">
        <v>4835.2512999999999</v>
      </c>
      <c r="H62" s="140" t="s">
        <v>29</v>
      </c>
      <c r="I62" s="138">
        <v>152</v>
      </c>
      <c r="J62" s="138" t="s">
        <v>103</v>
      </c>
      <c r="K62" s="138" t="s">
        <v>29</v>
      </c>
      <c r="L62" s="138" t="s">
        <v>31</v>
      </c>
      <c r="M62" s="141"/>
      <c r="N62" s="138"/>
      <c r="O62" s="138"/>
      <c r="P62" s="142"/>
      <c r="Q62" s="137" t="s">
        <v>212</v>
      </c>
      <c r="R62" s="137"/>
      <c r="S62" s="138" t="s">
        <v>248</v>
      </c>
      <c r="T62" s="136" t="s">
        <v>207</v>
      </c>
      <c r="U62" s="138" t="s">
        <v>33</v>
      </c>
    </row>
    <row r="63" spans="1:21" s="143" customFormat="1">
      <c r="A63" s="136" t="s">
        <v>202</v>
      </c>
      <c r="B63" s="136" t="s">
        <v>24</v>
      </c>
      <c r="C63" s="137" t="s">
        <v>210</v>
      </c>
      <c r="D63" s="138" t="s">
        <v>26</v>
      </c>
      <c r="E63" s="138"/>
      <c r="F63" s="137" t="s">
        <v>252</v>
      </c>
      <c r="G63" s="139">
        <v>4733.9661999999998</v>
      </c>
      <c r="H63" s="140" t="s">
        <v>29</v>
      </c>
      <c r="I63" s="138">
        <v>70</v>
      </c>
      <c r="J63" s="138" t="s">
        <v>52</v>
      </c>
      <c r="K63" s="138" t="s">
        <v>31</v>
      </c>
      <c r="L63" s="138" t="s">
        <v>31</v>
      </c>
      <c r="M63" s="141"/>
      <c r="N63" s="138"/>
      <c r="O63" s="138"/>
      <c r="P63" s="142"/>
      <c r="Q63" s="137" t="s">
        <v>218</v>
      </c>
      <c r="R63" s="137"/>
      <c r="S63" s="144" t="s">
        <v>248</v>
      </c>
      <c r="T63" s="145" t="s">
        <v>207</v>
      </c>
      <c r="U63" s="144" t="s">
        <v>33</v>
      </c>
    </row>
    <row r="64" spans="1:21" s="143" customFormat="1">
      <c r="A64" s="136" t="s">
        <v>202</v>
      </c>
      <c r="B64" s="136" t="s">
        <v>24</v>
      </c>
      <c r="C64" s="137" t="s">
        <v>216</v>
      </c>
      <c r="D64" s="138" t="s">
        <v>26</v>
      </c>
      <c r="E64" s="138"/>
      <c r="F64" s="137" t="s">
        <v>253</v>
      </c>
      <c r="G64" s="139">
        <v>4601.0613000000003</v>
      </c>
      <c r="H64" s="140" t="s">
        <v>29</v>
      </c>
      <c r="I64" s="138">
        <v>120</v>
      </c>
      <c r="J64" s="138" t="s">
        <v>103</v>
      </c>
      <c r="K64" s="138" t="s">
        <v>29</v>
      </c>
      <c r="L64" s="138" t="s">
        <v>31</v>
      </c>
      <c r="M64" s="141"/>
      <c r="N64" s="138"/>
      <c r="O64" s="138"/>
      <c r="P64" s="142"/>
      <c r="Q64" s="137" t="s">
        <v>212</v>
      </c>
      <c r="R64" s="137" t="s">
        <v>254</v>
      </c>
      <c r="S64" s="138" t="s">
        <v>248</v>
      </c>
      <c r="T64" s="136" t="s">
        <v>207</v>
      </c>
      <c r="U64" s="138" t="s">
        <v>33</v>
      </c>
    </row>
    <row r="65" spans="1:21" s="143" customFormat="1">
      <c r="A65" s="136" t="s">
        <v>23</v>
      </c>
      <c r="B65" s="136" t="s">
        <v>24</v>
      </c>
      <c r="C65" s="137" t="s">
        <v>23</v>
      </c>
      <c r="D65" s="138" t="s">
        <v>26</v>
      </c>
      <c r="E65" s="138"/>
      <c r="F65" s="137" t="s">
        <v>255</v>
      </c>
      <c r="G65" s="139">
        <v>3063.8624</v>
      </c>
      <c r="H65" s="140" t="s">
        <v>29</v>
      </c>
      <c r="I65" s="138">
        <v>240</v>
      </c>
      <c r="J65" s="138" t="s">
        <v>52</v>
      </c>
      <c r="K65" s="138" t="s">
        <v>29</v>
      </c>
      <c r="L65" s="138" t="s">
        <v>31</v>
      </c>
      <c r="M65" s="141"/>
      <c r="N65" s="138"/>
      <c r="O65" s="138"/>
      <c r="P65" s="142" t="s">
        <v>256</v>
      </c>
      <c r="Q65" s="137"/>
      <c r="R65" s="137" t="s">
        <v>257</v>
      </c>
      <c r="S65" s="138" t="s">
        <v>248</v>
      </c>
      <c r="T65" s="136" t="s">
        <v>109</v>
      </c>
      <c r="U65" s="138"/>
    </row>
    <row r="66" spans="1:21" s="143" customFormat="1">
      <c r="A66" s="136" t="s">
        <v>37</v>
      </c>
      <c r="B66" s="136" t="s">
        <v>24</v>
      </c>
      <c r="C66" s="137" t="s">
        <v>37</v>
      </c>
      <c r="D66" s="138" t="s">
        <v>26</v>
      </c>
      <c r="E66" s="138"/>
      <c r="F66" s="137" t="s">
        <v>258</v>
      </c>
      <c r="G66" s="139">
        <v>2929.8798999999999</v>
      </c>
      <c r="H66" s="140" t="s">
        <v>29</v>
      </c>
      <c r="I66" s="138">
        <v>120</v>
      </c>
      <c r="J66" s="138" t="s">
        <v>30</v>
      </c>
      <c r="K66" s="138" t="s">
        <v>29</v>
      </c>
      <c r="L66" s="138" t="s">
        <v>31</v>
      </c>
      <c r="M66" s="141"/>
      <c r="N66" s="138"/>
      <c r="O66" s="138"/>
      <c r="P66" s="142" t="s">
        <v>259</v>
      </c>
      <c r="Q66" s="137"/>
      <c r="R66" s="137" t="s">
        <v>260</v>
      </c>
      <c r="S66" s="144" t="s">
        <v>248</v>
      </c>
      <c r="T66" s="145" t="s">
        <v>261</v>
      </c>
      <c r="U66" s="144" t="s">
        <v>29</v>
      </c>
    </row>
    <row r="67" spans="1:21" s="143" customFormat="1">
      <c r="A67" s="136" t="s">
        <v>23</v>
      </c>
      <c r="B67" s="136" t="s">
        <v>24</v>
      </c>
      <c r="C67" s="137" t="s">
        <v>23</v>
      </c>
      <c r="D67" s="138" t="s">
        <v>26</v>
      </c>
      <c r="E67" s="138"/>
      <c r="F67" s="137" t="s">
        <v>262</v>
      </c>
      <c r="G67" s="139">
        <v>2874.4429</v>
      </c>
      <c r="H67" s="140" t="s">
        <v>29</v>
      </c>
      <c r="I67" s="138">
        <v>0</v>
      </c>
      <c r="J67" s="138" t="s">
        <v>30</v>
      </c>
      <c r="K67" s="138" t="s">
        <v>31</v>
      </c>
      <c r="L67" s="138" t="s">
        <v>31</v>
      </c>
      <c r="M67" s="141"/>
      <c r="N67" s="138"/>
      <c r="O67" s="138"/>
      <c r="P67" s="142" t="s">
        <v>263</v>
      </c>
      <c r="Q67" s="137"/>
      <c r="R67" s="137" t="s">
        <v>257</v>
      </c>
      <c r="S67" s="138" t="s">
        <v>248</v>
      </c>
      <c r="T67" s="136" t="s">
        <v>109</v>
      </c>
      <c r="U67" s="138"/>
    </row>
    <row r="68" spans="1:21" s="143" customFormat="1">
      <c r="A68" s="136" t="s">
        <v>42</v>
      </c>
      <c r="B68" s="136" t="s">
        <v>24</v>
      </c>
      <c r="C68" s="137" t="s">
        <v>223</v>
      </c>
      <c r="D68" s="138" t="s">
        <v>26</v>
      </c>
      <c r="E68" s="138"/>
      <c r="F68" s="137" t="s">
        <v>264</v>
      </c>
      <c r="G68" s="139">
        <v>2480.5228000000002</v>
      </c>
      <c r="H68" s="140" t="s">
        <v>29</v>
      </c>
      <c r="I68" s="138">
        <v>300</v>
      </c>
      <c r="J68" s="138" t="s">
        <v>103</v>
      </c>
      <c r="K68" s="138" t="s">
        <v>29</v>
      </c>
      <c r="L68" s="138" t="s">
        <v>31</v>
      </c>
      <c r="M68" s="141"/>
      <c r="N68" s="138"/>
      <c r="O68" s="138"/>
      <c r="P68" s="142" t="s">
        <v>265</v>
      </c>
      <c r="Q68" s="137"/>
      <c r="R68" s="137"/>
      <c r="S68" s="138" t="s">
        <v>248</v>
      </c>
      <c r="T68" s="136" t="s">
        <v>207</v>
      </c>
      <c r="U68" s="138" t="s">
        <v>29</v>
      </c>
    </row>
    <row r="69" spans="1:21" s="143" customFormat="1">
      <c r="A69" s="136" t="s">
        <v>42</v>
      </c>
      <c r="B69" s="136" t="s">
        <v>24</v>
      </c>
      <c r="C69" s="137" t="s">
        <v>82</v>
      </c>
      <c r="D69" s="138" t="s">
        <v>26</v>
      </c>
      <c r="E69" s="138"/>
      <c r="F69" s="137" t="s">
        <v>266</v>
      </c>
      <c r="G69" s="139"/>
      <c r="H69" s="140" t="s">
        <v>29</v>
      </c>
      <c r="I69" s="138"/>
      <c r="J69" s="138"/>
      <c r="K69" s="138"/>
      <c r="L69" s="138"/>
      <c r="M69" s="141"/>
      <c r="N69" s="138"/>
      <c r="O69" s="138"/>
      <c r="P69" s="142" t="s">
        <v>267</v>
      </c>
      <c r="Q69" s="137"/>
      <c r="R69" s="137"/>
      <c r="S69" s="144" t="s">
        <v>248</v>
      </c>
      <c r="T69" s="145" t="s">
        <v>268</v>
      </c>
      <c r="U69" s="144"/>
    </row>
    <row r="70" spans="1:21" s="143" customFormat="1">
      <c r="A70" s="136" t="s">
        <v>202</v>
      </c>
      <c r="B70" s="136" t="s">
        <v>87</v>
      </c>
      <c r="C70" s="137" t="s">
        <v>269</v>
      </c>
      <c r="D70" s="138" t="s">
        <v>26</v>
      </c>
      <c r="E70" s="138"/>
      <c r="F70" s="137" t="s">
        <v>270</v>
      </c>
      <c r="G70" s="139"/>
      <c r="H70" s="140" t="s">
        <v>29</v>
      </c>
      <c r="I70" s="138"/>
      <c r="J70" s="138"/>
      <c r="K70" s="138" t="s">
        <v>31</v>
      </c>
      <c r="L70" s="138" t="s">
        <v>31</v>
      </c>
      <c r="M70" s="141"/>
      <c r="N70" s="138"/>
      <c r="O70" s="138"/>
      <c r="P70" s="142" t="s">
        <v>271</v>
      </c>
      <c r="Q70" s="137" t="s">
        <v>271</v>
      </c>
      <c r="R70" s="137"/>
      <c r="S70" s="138" t="s">
        <v>248</v>
      </c>
      <c r="T70" s="136" t="s">
        <v>234</v>
      </c>
      <c r="U70" s="138" t="s">
        <v>33</v>
      </c>
    </row>
    <row r="71" spans="1:21" s="143" customFormat="1">
      <c r="A71" s="136" t="s">
        <v>63</v>
      </c>
      <c r="B71" s="136" t="s">
        <v>24</v>
      </c>
      <c r="C71" s="137" t="s">
        <v>272</v>
      </c>
      <c r="D71" s="138" t="s">
        <v>26</v>
      </c>
      <c r="E71" s="138"/>
      <c r="F71" s="137" t="s">
        <v>273</v>
      </c>
      <c r="G71" s="139"/>
      <c r="H71" s="140" t="s">
        <v>29</v>
      </c>
      <c r="I71" s="138"/>
      <c r="J71" s="138" t="s">
        <v>52</v>
      </c>
      <c r="K71" s="138"/>
      <c r="L71" s="138"/>
      <c r="M71" s="141"/>
      <c r="N71" s="138"/>
      <c r="O71" s="138"/>
      <c r="P71" s="142" t="s">
        <v>117</v>
      </c>
      <c r="Q71" s="137"/>
      <c r="R71" s="137"/>
      <c r="S71" s="138" t="s">
        <v>248</v>
      </c>
      <c r="T71" s="136" t="s">
        <v>274</v>
      </c>
      <c r="U71" s="138" t="s">
        <v>29</v>
      </c>
    </row>
    <row r="72" spans="1:21" s="143" customFormat="1">
      <c r="A72" s="136" t="s">
        <v>37</v>
      </c>
      <c r="B72" s="136" t="s">
        <v>24</v>
      </c>
      <c r="C72" s="137" t="s">
        <v>275</v>
      </c>
      <c r="D72" s="138" t="s">
        <v>26</v>
      </c>
      <c r="E72" s="138"/>
      <c r="F72" s="137" t="s">
        <v>276</v>
      </c>
      <c r="G72" s="139"/>
      <c r="H72" s="140" t="s">
        <v>29</v>
      </c>
      <c r="I72" s="138">
        <v>120</v>
      </c>
      <c r="J72" s="138" t="s">
        <v>103</v>
      </c>
      <c r="K72" s="138" t="s">
        <v>29</v>
      </c>
      <c r="L72" s="138" t="s">
        <v>31</v>
      </c>
      <c r="M72" s="141"/>
      <c r="N72" s="138"/>
      <c r="O72" s="138"/>
      <c r="P72" s="142" t="s">
        <v>277</v>
      </c>
      <c r="Q72" s="137"/>
      <c r="R72" s="137" t="s">
        <v>278</v>
      </c>
      <c r="S72" s="138" t="s">
        <v>248</v>
      </c>
      <c r="T72" s="136" t="s">
        <v>242</v>
      </c>
      <c r="U72" s="138"/>
    </row>
    <row r="73" spans="1:21" s="143" customFormat="1">
      <c r="A73" s="136" t="s">
        <v>37</v>
      </c>
      <c r="B73" s="136" t="s">
        <v>87</v>
      </c>
      <c r="C73" s="137" t="s">
        <v>243</v>
      </c>
      <c r="D73" s="138" t="s">
        <v>26</v>
      </c>
      <c r="E73" s="138"/>
      <c r="F73" s="137" t="s">
        <v>279</v>
      </c>
      <c r="G73" s="139"/>
      <c r="H73" s="140" t="s">
        <v>29</v>
      </c>
      <c r="I73" s="138">
        <v>300</v>
      </c>
      <c r="J73" s="138" t="s">
        <v>30</v>
      </c>
      <c r="K73" s="138" t="s">
        <v>29</v>
      </c>
      <c r="L73" s="138" t="s">
        <v>31</v>
      </c>
      <c r="M73" s="141"/>
      <c r="N73" s="138"/>
      <c r="O73" s="138"/>
      <c r="P73" s="142" t="s">
        <v>280</v>
      </c>
      <c r="Q73" s="137"/>
      <c r="R73" s="137" t="s">
        <v>281</v>
      </c>
      <c r="S73" s="138" t="s">
        <v>248</v>
      </c>
      <c r="T73" s="136" t="s">
        <v>242</v>
      </c>
      <c r="U73" s="138"/>
    </row>
    <row r="74" spans="1:21" s="143" customFormat="1" ht="29.25">
      <c r="A74" s="136" t="s">
        <v>42</v>
      </c>
      <c r="B74" s="136" t="s">
        <v>24</v>
      </c>
      <c r="C74" s="137" t="s">
        <v>223</v>
      </c>
      <c r="D74" s="138" t="s">
        <v>26</v>
      </c>
      <c r="E74" s="138"/>
      <c r="F74" s="137" t="s">
        <v>282</v>
      </c>
      <c r="G74" s="139">
        <v>3614.2138</v>
      </c>
      <c r="H74" s="140" t="s">
        <v>29</v>
      </c>
      <c r="I74" s="138">
        <v>360</v>
      </c>
      <c r="J74" s="138" t="s">
        <v>30</v>
      </c>
      <c r="K74" s="138" t="s">
        <v>29</v>
      </c>
      <c r="L74" s="138" t="s">
        <v>31</v>
      </c>
      <c r="M74" s="141"/>
      <c r="N74" s="138"/>
      <c r="O74" s="138"/>
      <c r="P74" s="142" t="s">
        <v>283</v>
      </c>
      <c r="Q74" s="137"/>
      <c r="R74" s="137" t="s">
        <v>47</v>
      </c>
      <c r="S74" s="138" t="s">
        <v>284</v>
      </c>
      <c r="T74" s="136" t="s">
        <v>207</v>
      </c>
      <c r="U74" s="138" t="s">
        <v>29</v>
      </c>
    </row>
    <row r="75" spans="1:21" s="152" customFormat="1" ht="29.25">
      <c r="A75" s="146" t="s">
        <v>42</v>
      </c>
      <c r="B75" s="146" t="s">
        <v>24</v>
      </c>
      <c r="C75" s="133" t="s">
        <v>225</v>
      </c>
      <c r="D75" s="147" t="s">
        <v>26</v>
      </c>
      <c r="E75" s="113" t="s">
        <v>20</v>
      </c>
      <c r="F75" s="133" t="s">
        <v>285</v>
      </c>
      <c r="G75" s="148">
        <v>3046.4805000000001</v>
      </c>
      <c r="H75" s="149" t="s">
        <v>29</v>
      </c>
      <c r="I75" s="147">
        <v>360</v>
      </c>
      <c r="J75" s="147" t="s">
        <v>30</v>
      </c>
      <c r="K75" s="147" t="s">
        <v>29</v>
      </c>
      <c r="L75" s="147" t="s">
        <v>31</v>
      </c>
      <c r="M75" s="150" t="s">
        <v>32</v>
      </c>
      <c r="N75" s="113" t="s">
        <v>66</v>
      </c>
      <c r="O75" s="113" t="s">
        <v>67</v>
      </c>
      <c r="P75" s="120" t="s">
        <v>286</v>
      </c>
      <c r="Q75" s="133"/>
      <c r="R75" s="133"/>
      <c r="S75" s="147" t="s">
        <v>284</v>
      </c>
      <c r="T75" s="151" t="s">
        <v>287</v>
      </c>
      <c r="U75" s="147"/>
    </row>
    <row r="76" spans="1:21" s="143" customFormat="1">
      <c r="A76" s="136" t="s">
        <v>37</v>
      </c>
      <c r="B76" s="136" t="s">
        <v>24</v>
      </c>
      <c r="C76" s="137" t="s">
        <v>37</v>
      </c>
      <c r="D76" s="138" t="s">
        <v>26</v>
      </c>
      <c r="E76" s="138"/>
      <c r="F76" s="137" t="s">
        <v>288</v>
      </c>
      <c r="G76" s="139">
        <v>1904.2057</v>
      </c>
      <c r="H76" s="140" t="s">
        <v>29</v>
      </c>
      <c r="I76" s="138">
        <v>486</v>
      </c>
      <c r="J76" s="138" t="s">
        <v>30</v>
      </c>
      <c r="K76" s="138" t="s">
        <v>29</v>
      </c>
      <c r="L76" s="138" t="s">
        <v>31</v>
      </c>
      <c r="M76" s="141"/>
      <c r="N76" s="138"/>
      <c r="O76" s="138"/>
      <c r="P76" s="142" t="s">
        <v>289</v>
      </c>
      <c r="Q76" s="137"/>
      <c r="R76" s="137" t="s">
        <v>141</v>
      </c>
      <c r="S76" s="138" t="s">
        <v>284</v>
      </c>
      <c r="T76" s="136" t="s">
        <v>261</v>
      </c>
      <c r="U76" s="138" t="s">
        <v>29</v>
      </c>
    </row>
    <row r="77" spans="1:21" s="143" customFormat="1" ht="29.25">
      <c r="A77" s="136" t="s">
        <v>42</v>
      </c>
      <c r="B77" s="136" t="s">
        <v>24</v>
      </c>
      <c r="C77" s="137" t="s">
        <v>82</v>
      </c>
      <c r="D77" s="138" t="s">
        <v>26</v>
      </c>
      <c r="E77" s="138"/>
      <c r="F77" s="137" t="s">
        <v>290</v>
      </c>
      <c r="G77" s="139"/>
      <c r="H77" s="140" t="s">
        <v>29</v>
      </c>
      <c r="I77" s="138"/>
      <c r="J77" s="138"/>
      <c r="K77" s="138"/>
      <c r="L77" s="138"/>
      <c r="M77" s="141"/>
      <c r="N77" s="138"/>
      <c r="O77" s="138"/>
      <c r="P77" s="142" t="s">
        <v>291</v>
      </c>
      <c r="Q77" s="137"/>
      <c r="R77" s="137"/>
      <c r="S77" s="138" t="s">
        <v>284</v>
      </c>
      <c r="T77" s="136" t="s">
        <v>207</v>
      </c>
      <c r="U77" s="138"/>
    </row>
    <row r="78" spans="1:21">
      <c r="A78" s="153" t="s">
        <v>37</v>
      </c>
      <c r="B78" s="153" t="s">
        <v>87</v>
      </c>
      <c r="C78" s="154" t="s">
        <v>292</v>
      </c>
      <c r="D78" s="155" t="s">
        <v>26</v>
      </c>
      <c r="E78" s="155"/>
      <c r="F78" s="154" t="s">
        <v>293</v>
      </c>
      <c r="G78" s="156"/>
      <c r="H78" s="157" t="s">
        <v>29</v>
      </c>
      <c r="I78" s="155">
        <v>480</v>
      </c>
      <c r="J78" s="155" t="s">
        <v>30</v>
      </c>
      <c r="K78" s="155" t="s">
        <v>29</v>
      </c>
      <c r="L78" s="155" t="s">
        <v>29</v>
      </c>
      <c r="M78" s="157"/>
      <c r="N78" s="155"/>
      <c r="O78" s="155"/>
      <c r="P78" s="156" t="s">
        <v>294</v>
      </c>
      <c r="Q78" s="154"/>
      <c r="R78" s="154"/>
      <c r="S78" s="155" t="s">
        <v>295</v>
      </c>
      <c r="T78" s="153" t="s">
        <v>296</v>
      </c>
      <c r="U78" s="155"/>
    </row>
    <row r="79" spans="1:21">
      <c r="A79" s="153" t="s">
        <v>37</v>
      </c>
      <c r="B79" s="153" t="s">
        <v>24</v>
      </c>
      <c r="C79" s="154" t="s">
        <v>297</v>
      </c>
      <c r="D79" s="155" t="s">
        <v>26</v>
      </c>
      <c r="E79" s="155"/>
      <c r="F79" s="154" t="s">
        <v>298</v>
      </c>
      <c r="G79" s="156"/>
      <c r="H79" s="157" t="s">
        <v>29</v>
      </c>
      <c r="I79" s="155">
        <v>480</v>
      </c>
      <c r="J79" s="155" t="s">
        <v>52</v>
      </c>
      <c r="K79" s="155" t="s">
        <v>29</v>
      </c>
      <c r="L79" s="155" t="s">
        <v>29</v>
      </c>
      <c r="M79" s="157"/>
      <c r="N79" s="155"/>
      <c r="O79" s="155"/>
      <c r="P79" s="156"/>
      <c r="Q79" s="154"/>
      <c r="R79" s="154"/>
      <c r="S79" s="155" t="s">
        <v>295</v>
      </c>
      <c r="T79" s="153" t="s">
        <v>296</v>
      </c>
      <c r="U79" s="155"/>
    </row>
    <row r="80" spans="1:21">
      <c r="A80" s="153" t="s">
        <v>37</v>
      </c>
      <c r="B80" s="153" t="s">
        <v>87</v>
      </c>
      <c r="C80" s="154" t="s">
        <v>101</v>
      </c>
      <c r="D80" s="155" t="s">
        <v>26</v>
      </c>
      <c r="E80" s="155"/>
      <c r="F80" s="154" t="s">
        <v>299</v>
      </c>
      <c r="G80" s="156"/>
      <c r="H80" s="157" t="s">
        <v>29</v>
      </c>
      <c r="I80" s="155">
        <v>480</v>
      </c>
      <c r="J80" s="155" t="s">
        <v>30</v>
      </c>
      <c r="K80" s="155" t="s">
        <v>29</v>
      </c>
      <c r="L80" s="155" t="s">
        <v>29</v>
      </c>
      <c r="M80" s="157"/>
      <c r="N80" s="155"/>
      <c r="O80" s="155"/>
      <c r="P80" s="156" t="s">
        <v>294</v>
      </c>
      <c r="Q80" s="154"/>
      <c r="R80" s="154"/>
      <c r="S80" s="155" t="s">
        <v>295</v>
      </c>
      <c r="T80" s="153" t="s">
        <v>296</v>
      </c>
      <c r="U80" s="155"/>
    </row>
    <row r="81" spans="1:21">
      <c r="A81" s="153" t="s">
        <v>37</v>
      </c>
      <c r="B81" s="153" t="s">
        <v>24</v>
      </c>
      <c r="C81" s="154" t="s">
        <v>300</v>
      </c>
      <c r="D81" s="155" t="s">
        <v>26</v>
      </c>
      <c r="E81" s="155"/>
      <c r="F81" s="154" t="s">
        <v>301</v>
      </c>
      <c r="G81" s="156"/>
      <c r="H81" s="157" t="s">
        <v>29</v>
      </c>
      <c r="I81" s="155">
        <v>480</v>
      </c>
      <c r="J81" s="155" t="s">
        <v>52</v>
      </c>
      <c r="K81" s="155" t="s">
        <v>29</v>
      </c>
      <c r="L81" s="155" t="s">
        <v>29</v>
      </c>
      <c r="M81" s="157"/>
      <c r="N81" s="155"/>
      <c r="O81" s="155"/>
      <c r="P81" s="156"/>
      <c r="Q81" s="154"/>
      <c r="R81" s="154"/>
      <c r="S81" s="155" t="s">
        <v>295</v>
      </c>
      <c r="T81" s="153" t="s">
        <v>296</v>
      </c>
      <c r="U81" s="155"/>
    </row>
    <row r="82" spans="1:21">
      <c r="A82" s="153" t="s">
        <v>37</v>
      </c>
      <c r="B82" s="153" t="s">
        <v>24</v>
      </c>
      <c r="C82" s="154" t="s">
        <v>302</v>
      </c>
      <c r="D82" s="155" t="s">
        <v>26</v>
      </c>
      <c r="E82" s="155"/>
      <c r="F82" s="154" t="s">
        <v>303</v>
      </c>
      <c r="G82" s="156"/>
      <c r="H82" s="157" t="s">
        <v>29</v>
      </c>
      <c r="I82" s="155">
        <v>480</v>
      </c>
      <c r="J82" s="155" t="s">
        <v>30</v>
      </c>
      <c r="K82" s="155" t="s">
        <v>29</v>
      </c>
      <c r="L82" s="155" t="s">
        <v>29</v>
      </c>
      <c r="M82" s="157"/>
      <c r="N82" s="155"/>
      <c r="O82" s="155"/>
      <c r="P82" s="156"/>
      <c r="Q82" s="154"/>
      <c r="R82" s="154"/>
      <c r="S82" s="155" t="s">
        <v>295</v>
      </c>
      <c r="T82" s="153" t="s">
        <v>296</v>
      </c>
      <c r="U82" s="155"/>
    </row>
    <row r="83" spans="1:21">
      <c r="A83" s="153" t="s">
        <v>202</v>
      </c>
      <c r="B83" s="153" t="s">
        <v>24</v>
      </c>
      <c r="C83" s="154" t="s">
        <v>181</v>
      </c>
      <c r="D83" s="155" t="s">
        <v>26</v>
      </c>
      <c r="E83" s="155"/>
      <c r="F83" s="154" t="s">
        <v>304</v>
      </c>
      <c r="G83" s="156"/>
      <c r="H83" s="157" t="s">
        <v>29</v>
      </c>
      <c r="I83" s="155">
        <v>480</v>
      </c>
      <c r="J83" s="155" t="s">
        <v>52</v>
      </c>
      <c r="K83" s="155" t="s">
        <v>29</v>
      </c>
      <c r="L83" s="155" t="s">
        <v>29</v>
      </c>
      <c r="M83" s="157" t="s">
        <v>32</v>
      </c>
      <c r="N83" s="155"/>
      <c r="O83" s="155"/>
      <c r="P83" s="156" t="s">
        <v>305</v>
      </c>
      <c r="Q83" s="154"/>
      <c r="R83" s="154" t="s">
        <v>305</v>
      </c>
      <c r="S83" s="155" t="s">
        <v>295</v>
      </c>
      <c r="T83" s="153"/>
      <c r="U83" s="155"/>
    </row>
    <row r="84" spans="1:21">
      <c r="A84" s="153" t="s">
        <v>202</v>
      </c>
      <c r="B84" s="153" t="s">
        <v>24</v>
      </c>
      <c r="C84" s="154" t="s">
        <v>306</v>
      </c>
      <c r="D84" s="155" t="s">
        <v>26</v>
      </c>
      <c r="E84" s="155"/>
      <c r="F84" s="154" t="s">
        <v>307</v>
      </c>
      <c r="G84" s="156"/>
      <c r="H84" s="157" t="s">
        <v>29</v>
      </c>
      <c r="I84" s="155">
        <v>480</v>
      </c>
      <c r="J84" s="155" t="s">
        <v>52</v>
      </c>
      <c r="K84" s="155" t="s">
        <v>29</v>
      </c>
      <c r="L84" s="155" t="s">
        <v>29</v>
      </c>
      <c r="M84" s="157"/>
      <c r="N84" s="155"/>
      <c r="O84" s="155"/>
      <c r="P84" s="156"/>
      <c r="Q84" s="154"/>
      <c r="R84" s="154"/>
      <c r="S84" s="155" t="s">
        <v>295</v>
      </c>
      <c r="T84" s="153"/>
      <c r="U84" s="155"/>
    </row>
    <row r="85" spans="1:21">
      <c r="A85" s="153" t="s">
        <v>37</v>
      </c>
      <c r="B85" s="153" t="s">
        <v>24</v>
      </c>
      <c r="C85" s="154" t="s">
        <v>137</v>
      </c>
      <c r="D85" s="155" t="s">
        <v>26</v>
      </c>
      <c r="E85" s="155"/>
      <c r="F85" s="154" t="s">
        <v>308</v>
      </c>
      <c r="G85" s="156"/>
      <c r="H85" s="157" t="s">
        <v>29</v>
      </c>
      <c r="I85" s="155">
        <v>480</v>
      </c>
      <c r="J85" s="155" t="s">
        <v>52</v>
      </c>
      <c r="K85" s="155" t="s">
        <v>29</v>
      </c>
      <c r="L85" s="155" t="s">
        <v>29</v>
      </c>
      <c r="M85" s="157"/>
      <c r="N85" s="155"/>
      <c r="O85" s="155"/>
      <c r="P85" s="156"/>
      <c r="Q85" s="154"/>
      <c r="R85" s="154"/>
      <c r="S85" s="155" t="s">
        <v>295</v>
      </c>
      <c r="T85" s="153" t="s">
        <v>296</v>
      </c>
      <c r="U85" s="155"/>
    </row>
    <row r="86" spans="1:21">
      <c r="A86" s="153" t="s">
        <v>49</v>
      </c>
      <c r="B86" s="153" t="s">
        <v>24</v>
      </c>
      <c r="C86" s="154" t="s">
        <v>309</v>
      </c>
      <c r="D86" s="155" t="s">
        <v>26</v>
      </c>
      <c r="E86" s="155"/>
      <c r="F86" s="154" t="s">
        <v>310</v>
      </c>
      <c r="G86" s="156"/>
      <c r="H86" s="157" t="s">
        <v>29</v>
      </c>
      <c r="I86" s="155">
        <v>480</v>
      </c>
      <c r="J86" s="155" t="s">
        <v>52</v>
      </c>
      <c r="K86" s="155" t="s">
        <v>29</v>
      </c>
      <c r="L86" s="155" t="s">
        <v>29</v>
      </c>
      <c r="M86" s="157"/>
      <c r="N86" s="155"/>
      <c r="O86" s="155"/>
      <c r="P86" s="156"/>
      <c r="Q86" s="154"/>
      <c r="R86" s="154"/>
      <c r="S86" s="155" t="s">
        <v>295</v>
      </c>
      <c r="T86" s="153" t="s">
        <v>296</v>
      </c>
      <c r="U86" s="155"/>
    </row>
    <row r="87" spans="1:21">
      <c r="A87" s="153" t="s">
        <v>37</v>
      </c>
      <c r="B87" s="153" t="s">
        <v>24</v>
      </c>
      <c r="C87" s="154" t="s">
        <v>37</v>
      </c>
      <c r="D87" s="155" t="s">
        <v>26</v>
      </c>
      <c r="E87" s="155"/>
      <c r="F87" s="154" t="s">
        <v>311</v>
      </c>
      <c r="G87" s="156"/>
      <c r="H87" s="157" t="s">
        <v>29</v>
      </c>
      <c r="I87" s="155">
        <v>480</v>
      </c>
      <c r="J87" s="155" t="s">
        <v>52</v>
      </c>
      <c r="K87" s="155" t="s">
        <v>29</v>
      </c>
      <c r="L87" s="155" t="s">
        <v>29</v>
      </c>
      <c r="M87" s="157"/>
      <c r="N87" s="155"/>
      <c r="O87" s="155"/>
      <c r="P87" s="156"/>
      <c r="Q87" s="154"/>
      <c r="R87" s="154"/>
      <c r="S87" s="155" t="s">
        <v>295</v>
      </c>
      <c r="T87" s="153" t="s">
        <v>296</v>
      </c>
      <c r="U87" s="155"/>
    </row>
    <row r="88" spans="1:21">
      <c r="A88" s="153" t="s">
        <v>49</v>
      </c>
      <c r="B88" s="153" t="s">
        <v>24</v>
      </c>
      <c r="C88" s="154" t="s">
        <v>49</v>
      </c>
      <c r="D88" s="155" t="s">
        <v>26</v>
      </c>
      <c r="E88" s="155"/>
      <c r="F88" s="154" t="s">
        <v>312</v>
      </c>
      <c r="G88" s="156"/>
      <c r="H88" s="157" t="s">
        <v>29</v>
      </c>
      <c r="I88" s="155">
        <v>480</v>
      </c>
      <c r="J88" s="155" t="s">
        <v>52</v>
      </c>
      <c r="K88" s="155" t="s">
        <v>29</v>
      </c>
      <c r="L88" s="155" t="s">
        <v>29</v>
      </c>
      <c r="M88" s="157"/>
      <c r="N88" s="155"/>
      <c r="O88" s="155"/>
      <c r="P88" s="156" t="s">
        <v>313</v>
      </c>
      <c r="Q88" s="154" t="s">
        <v>313</v>
      </c>
      <c r="R88" s="154" t="s">
        <v>314</v>
      </c>
      <c r="S88" s="155" t="s">
        <v>295</v>
      </c>
      <c r="T88" s="153" t="s">
        <v>29</v>
      </c>
      <c r="U88" s="155"/>
    </row>
    <row r="89" spans="1:21">
      <c r="A89" s="153" t="s">
        <v>63</v>
      </c>
      <c r="B89" s="153" t="s">
        <v>24</v>
      </c>
      <c r="C89" s="154" t="s">
        <v>63</v>
      </c>
      <c r="D89" s="155" t="s">
        <v>26</v>
      </c>
      <c r="E89" s="155"/>
      <c r="F89" s="154" t="s">
        <v>315</v>
      </c>
      <c r="G89" s="156"/>
      <c r="H89" s="157" t="s">
        <v>29</v>
      </c>
      <c r="I89" s="155">
        <v>480</v>
      </c>
      <c r="J89" s="155" t="s">
        <v>52</v>
      </c>
      <c r="K89" s="155" t="s">
        <v>29</v>
      </c>
      <c r="L89" s="155" t="s">
        <v>29</v>
      </c>
      <c r="M89" s="157"/>
      <c r="N89" s="155"/>
      <c r="O89" s="155"/>
      <c r="P89" s="156" t="s">
        <v>316</v>
      </c>
      <c r="Q89" s="154"/>
      <c r="R89" s="154"/>
      <c r="S89" s="155" t="s">
        <v>295</v>
      </c>
      <c r="T89" s="153"/>
      <c r="U89" s="154"/>
    </row>
    <row r="90" spans="1:21">
      <c r="A90" s="153" t="s">
        <v>202</v>
      </c>
      <c r="B90" s="153" t="s">
        <v>24</v>
      </c>
      <c r="C90" s="154" t="s">
        <v>317</v>
      </c>
      <c r="D90" s="155" t="s">
        <v>26</v>
      </c>
      <c r="E90" s="155"/>
      <c r="F90" s="154" t="s">
        <v>318</v>
      </c>
      <c r="G90" s="156"/>
      <c r="H90" s="157" t="s">
        <v>29</v>
      </c>
      <c r="I90" s="155">
        <v>480</v>
      </c>
      <c r="J90" s="155" t="s">
        <v>52</v>
      </c>
      <c r="K90" s="155" t="s">
        <v>29</v>
      </c>
      <c r="L90" s="155" t="s">
        <v>29</v>
      </c>
      <c r="M90" s="157"/>
      <c r="N90" s="155"/>
      <c r="O90" s="155"/>
      <c r="P90" s="156" t="s">
        <v>319</v>
      </c>
      <c r="Q90" s="154" t="s">
        <v>320</v>
      </c>
      <c r="R90" s="154" t="s">
        <v>321</v>
      </c>
      <c r="S90" s="155" t="s">
        <v>295</v>
      </c>
      <c r="T90" s="153"/>
      <c r="U90" s="155"/>
    </row>
    <row r="91" spans="1:21">
      <c r="A91" s="153" t="s">
        <v>37</v>
      </c>
      <c r="B91" s="153" t="s">
        <v>87</v>
      </c>
      <c r="C91" s="154" t="s">
        <v>322</v>
      </c>
      <c r="D91" s="155" t="s">
        <v>26</v>
      </c>
      <c r="E91" s="155"/>
      <c r="F91" s="154" t="s">
        <v>323</v>
      </c>
      <c r="G91" s="156"/>
      <c r="H91" s="157" t="s">
        <v>29</v>
      </c>
      <c r="I91" s="155">
        <v>480</v>
      </c>
      <c r="J91" s="155" t="s">
        <v>30</v>
      </c>
      <c r="K91" s="155" t="s">
        <v>29</v>
      </c>
      <c r="L91" s="155" t="s">
        <v>29</v>
      </c>
      <c r="M91" s="157"/>
      <c r="N91" s="155"/>
      <c r="O91" s="155"/>
      <c r="P91" s="156"/>
      <c r="Q91" s="154"/>
      <c r="R91" s="154" t="s">
        <v>324</v>
      </c>
      <c r="S91" s="155" t="s">
        <v>295</v>
      </c>
      <c r="T91" s="153" t="s">
        <v>296</v>
      </c>
      <c r="U91" s="155"/>
    </row>
    <row r="92" spans="1:21">
      <c r="A92" s="158" t="s">
        <v>63</v>
      </c>
      <c r="B92" s="159" t="s">
        <v>24</v>
      </c>
      <c r="C92" s="158" t="s">
        <v>63</v>
      </c>
      <c r="D92" s="159" t="s">
        <v>26</v>
      </c>
      <c r="E92" s="159" t="s">
        <v>20</v>
      </c>
      <c r="F92" s="160" t="s">
        <v>325</v>
      </c>
      <c r="G92" s="161"/>
      <c r="H92" s="162" t="s">
        <v>29</v>
      </c>
      <c r="I92" s="162">
        <v>480</v>
      </c>
      <c r="J92" s="163" t="s">
        <v>30</v>
      </c>
      <c r="K92" s="163" t="s">
        <v>29</v>
      </c>
      <c r="L92" s="163" t="s">
        <v>29</v>
      </c>
      <c r="M92" s="162" t="s">
        <v>326</v>
      </c>
      <c r="N92" s="160"/>
      <c r="O92" s="160"/>
      <c r="P92" s="161" t="s">
        <v>327</v>
      </c>
      <c r="Q92" s="160"/>
      <c r="R92" s="160"/>
      <c r="S92" s="160"/>
      <c r="T92" s="160"/>
      <c r="U92" s="160"/>
    </row>
    <row r="93" spans="1:21" ht="29.25">
      <c r="A93" s="111" t="s">
        <v>63</v>
      </c>
      <c r="B93" s="113" t="s">
        <v>24</v>
      </c>
      <c r="C93" s="111" t="s">
        <v>328</v>
      </c>
      <c r="D93" s="113" t="s">
        <v>26</v>
      </c>
      <c r="E93" s="113" t="s">
        <v>20</v>
      </c>
      <c r="F93" s="135" t="s">
        <v>329</v>
      </c>
      <c r="G93" s="164"/>
      <c r="H93" s="135"/>
      <c r="I93" s="135"/>
      <c r="J93" s="113" t="s">
        <v>30</v>
      </c>
      <c r="K93" s="165" t="s">
        <v>29</v>
      </c>
      <c r="L93" s="165" t="s">
        <v>31</v>
      </c>
      <c r="M93" s="166" t="s">
        <v>32</v>
      </c>
      <c r="N93" s="135"/>
      <c r="O93" s="135"/>
      <c r="P93" s="164" t="s">
        <v>330</v>
      </c>
      <c r="Q93" s="135"/>
      <c r="R93" s="135"/>
      <c r="S93" s="135"/>
      <c r="T93" s="135"/>
      <c r="U93" s="135"/>
    </row>
    <row r="94" spans="1:21">
      <c r="A94" s="158" t="s">
        <v>49</v>
      </c>
      <c r="B94" s="159" t="s">
        <v>87</v>
      </c>
      <c r="C94" s="158" t="s">
        <v>331</v>
      </c>
      <c r="D94" s="159" t="s">
        <v>26</v>
      </c>
      <c r="E94" s="159" t="s">
        <v>39</v>
      </c>
      <c r="F94" s="167" t="s">
        <v>332</v>
      </c>
      <c r="G94" s="168"/>
      <c r="H94" s="167"/>
      <c r="I94" s="167"/>
      <c r="J94" s="159" t="s">
        <v>30</v>
      </c>
      <c r="K94" s="167"/>
      <c r="L94" s="159" t="s">
        <v>31</v>
      </c>
      <c r="M94" s="169" t="s">
        <v>72</v>
      </c>
      <c r="N94" s="167"/>
      <c r="O94" s="167"/>
      <c r="P94" s="168" t="s">
        <v>333</v>
      </c>
      <c r="Q94" s="167"/>
      <c r="R94" s="167"/>
      <c r="S94" s="167"/>
      <c r="T94" s="167"/>
      <c r="U94" s="167"/>
    </row>
    <row r="95" spans="1:21">
      <c r="A95" s="111" t="s">
        <v>37</v>
      </c>
      <c r="B95" s="113" t="s">
        <v>24</v>
      </c>
      <c r="C95" s="111" t="s">
        <v>37</v>
      </c>
      <c r="D95" s="113" t="s">
        <v>26</v>
      </c>
      <c r="E95" s="113" t="s">
        <v>191</v>
      </c>
      <c r="F95" s="112" t="s">
        <v>334</v>
      </c>
      <c r="G95" s="117"/>
      <c r="H95" s="112"/>
      <c r="I95" s="112"/>
      <c r="J95" s="113" t="s">
        <v>30</v>
      </c>
      <c r="K95" s="112"/>
      <c r="L95" s="113" t="s">
        <v>31</v>
      </c>
      <c r="M95" s="116" t="s">
        <v>32</v>
      </c>
      <c r="N95" s="112"/>
      <c r="O95" s="112"/>
      <c r="P95" s="117" t="s">
        <v>335</v>
      </c>
      <c r="Q95" s="112"/>
      <c r="R95" s="112"/>
      <c r="S95" s="112"/>
      <c r="T95" s="112"/>
      <c r="U95" s="112"/>
    </row>
    <row r="96" spans="1:21">
      <c r="A96" s="111" t="s">
        <v>37</v>
      </c>
      <c r="B96" s="113" t="s">
        <v>336</v>
      </c>
      <c r="C96" s="111" t="s">
        <v>337</v>
      </c>
      <c r="D96" s="113" t="s">
        <v>26</v>
      </c>
      <c r="E96" s="113" t="s">
        <v>39</v>
      </c>
      <c r="F96" s="112" t="s">
        <v>338</v>
      </c>
      <c r="G96" s="117"/>
      <c r="H96" s="112"/>
      <c r="I96" s="112"/>
      <c r="J96" s="113" t="s">
        <v>30</v>
      </c>
      <c r="K96" s="165" t="s">
        <v>29</v>
      </c>
      <c r="L96" s="113" t="s">
        <v>31</v>
      </c>
      <c r="M96" s="116" t="s">
        <v>32</v>
      </c>
      <c r="N96" s="112"/>
      <c r="O96" s="112"/>
      <c r="P96" s="117" t="s">
        <v>339</v>
      </c>
      <c r="Q96" s="112"/>
      <c r="R96" s="112"/>
      <c r="S96" s="112"/>
      <c r="T96" s="112"/>
      <c r="U96" s="112"/>
    </row>
    <row r="97" spans="1:21">
      <c r="A97" s="158" t="s">
        <v>23</v>
      </c>
      <c r="B97" s="159" t="s">
        <v>24</v>
      </c>
      <c r="C97" s="158" t="s">
        <v>340</v>
      </c>
      <c r="D97" s="159" t="s">
        <v>26</v>
      </c>
      <c r="E97" s="159" t="s">
        <v>341</v>
      </c>
      <c r="F97" s="167" t="s">
        <v>342</v>
      </c>
      <c r="G97" s="168"/>
      <c r="H97" s="167"/>
      <c r="I97" s="167"/>
      <c r="J97" s="159" t="s">
        <v>30</v>
      </c>
      <c r="K97" s="167"/>
      <c r="L97" s="159" t="s">
        <v>31</v>
      </c>
      <c r="M97" s="169" t="s">
        <v>72</v>
      </c>
      <c r="N97" s="167"/>
      <c r="O97" s="167"/>
      <c r="P97" s="168" t="s">
        <v>343</v>
      </c>
      <c r="Q97" s="167"/>
      <c r="R97" s="167"/>
      <c r="S97" s="167"/>
      <c r="T97" s="167"/>
      <c r="U97" s="167"/>
    </row>
    <row r="98" spans="1:21">
      <c r="A98" s="136" t="s">
        <v>23</v>
      </c>
      <c r="B98" s="138" t="s">
        <v>24</v>
      </c>
      <c r="C98" s="136" t="s">
        <v>178</v>
      </c>
      <c r="D98" s="138" t="s">
        <v>26</v>
      </c>
      <c r="E98" s="138"/>
      <c r="F98" s="137" t="s">
        <v>344</v>
      </c>
      <c r="G98" s="139"/>
      <c r="H98" s="170"/>
      <c r="I98" s="137"/>
      <c r="J98" s="137"/>
      <c r="K98" s="137"/>
      <c r="L98" s="138" t="s">
        <v>31</v>
      </c>
      <c r="M98" s="141"/>
      <c r="N98" s="137"/>
      <c r="O98" s="137"/>
      <c r="P98" s="142" t="s">
        <v>345</v>
      </c>
      <c r="Q98" s="137"/>
      <c r="R98" s="137"/>
      <c r="S98" s="137"/>
      <c r="T98" s="137"/>
      <c r="U98" s="137"/>
    </row>
    <row r="99" spans="1:21">
      <c r="A99" s="111" t="s">
        <v>49</v>
      </c>
      <c r="B99" s="113" t="s">
        <v>24</v>
      </c>
      <c r="C99" s="111" t="s">
        <v>128</v>
      </c>
      <c r="D99" s="113" t="s">
        <v>26</v>
      </c>
      <c r="E99" s="113" t="s">
        <v>20</v>
      </c>
      <c r="F99" s="112" t="s">
        <v>346</v>
      </c>
      <c r="G99" s="117"/>
      <c r="H99" s="112"/>
      <c r="I99" s="112"/>
      <c r="J99" s="113" t="s">
        <v>30</v>
      </c>
      <c r="K99" s="165" t="s">
        <v>29</v>
      </c>
      <c r="L99" s="113" t="s">
        <v>31</v>
      </c>
      <c r="M99" s="116" t="s">
        <v>32</v>
      </c>
      <c r="N99" s="112"/>
      <c r="O99" s="112"/>
      <c r="P99" s="117" t="s">
        <v>347</v>
      </c>
      <c r="Q99" s="112"/>
      <c r="R99" s="112"/>
      <c r="S99" s="112"/>
      <c r="T99" s="112"/>
      <c r="U99" s="112"/>
    </row>
    <row r="100" spans="1:21">
      <c r="A100" s="158" t="s">
        <v>42</v>
      </c>
      <c r="B100" s="159" t="s">
        <v>24</v>
      </c>
      <c r="C100" s="158" t="s">
        <v>42</v>
      </c>
      <c r="D100" s="159" t="s">
        <v>26</v>
      </c>
      <c r="E100" s="159" t="s">
        <v>20</v>
      </c>
      <c r="F100" s="167" t="s">
        <v>348</v>
      </c>
      <c r="G100" s="168"/>
      <c r="H100" s="167"/>
      <c r="I100" s="167"/>
      <c r="J100" s="167"/>
      <c r="K100" s="167"/>
      <c r="L100" s="159" t="s">
        <v>31</v>
      </c>
      <c r="M100" s="169" t="s">
        <v>72</v>
      </c>
      <c r="N100" s="167"/>
      <c r="O100" s="167"/>
      <c r="P100" s="168" t="s">
        <v>349</v>
      </c>
      <c r="Q100" s="167"/>
      <c r="R100" s="167"/>
      <c r="S100" s="167"/>
      <c r="T100" s="167"/>
      <c r="U100" s="167"/>
    </row>
    <row r="101" spans="1:21">
      <c r="A101" s="111" t="s">
        <v>42</v>
      </c>
      <c r="B101" s="113" t="s">
        <v>24</v>
      </c>
      <c r="C101" s="111" t="s">
        <v>350</v>
      </c>
      <c r="D101" s="113" t="s">
        <v>26</v>
      </c>
      <c r="E101" s="113" t="s">
        <v>39</v>
      </c>
      <c r="F101" s="112" t="s">
        <v>351</v>
      </c>
      <c r="G101" s="117"/>
      <c r="H101" s="112"/>
      <c r="I101" s="112"/>
      <c r="J101" s="113" t="s">
        <v>30</v>
      </c>
      <c r="K101" s="165" t="s">
        <v>29</v>
      </c>
      <c r="L101" s="113" t="s">
        <v>31</v>
      </c>
      <c r="M101" s="116" t="s">
        <v>32</v>
      </c>
      <c r="N101" s="112"/>
      <c r="O101" s="112"/>
      <c r="P101" s="117" t="s">
        <v>352</v>
      </c>
      <c r="Q101" s="112"/>
      <c r="R101" s="112"/>
      <c r="S101" s="112"/>
      <c r="T101" s="112"/>
      <c r="U101" s="112"/>
    </row>
    <row r="102" spans="1:21">
      <c r="A102" s="111" t="s">
        <v>42</v>
      </c>
      <c r="B102" s="113" t="s">
        <v>87</v>
      </c>
      <c r="C102" s="111" t="s">
        <v>353</v>
      </c>
      <c r="D102" s="113" t="s">
        <v>26</v>
      </c>
      <c r="E102" s="113" t="s">
        <v>20</v>
      </c>
      <c r="F102" s="112" t="s">
        <v>354</v>
      </c>
      <c r="G102" s="117"/>
      <c r="H102" s="112"/>
      <c r="I102" s="112"/>
      <c r="J102" s="113" t="s">
        <v>30</v>
      </c>
      <c r="K102" s="165" t="s">
        <v>29</v>
      </c>
      <c r="L102" s="113" t="s">
        <v>31</v>
      </c>
      <c r="M102" s="116" t="s">
        <v>32</v>
      </c>
      <c r="N102" s="112"/>
      <c r="O102" s="112"/>
      <c r="P102" s="117" t="s">
        <v>355</v>
      </c>
      <c r="Q102" s="112"/>
      <c r="R102" s="112"/>
      <c r="S102" s="112"/>
      <c r="T102" s="112"/>
      <c r="U102" s="112"/>
    </row>
    <row r="103" spans="1:21">
      <c r="A103" s="111" t="s">
        <v>181</v>
      </c>
      <c r="B103" s="113" t="s">
        <v>87</v>
      </c>
      <c r="C103" s="111" t="s">
        <v>356</v>
      </c>
      <c r="D103" s="113" t="s">
        <v>26</v>
      </c>
      <c r="E103" s="113" t="s">
        <v>27</v>
      </c>
      <c r="F103" s="112" t="s">
        <v>357</v>
      </c>
      <c r="G103" s="117"/>
      <c r="H103" s="112"/>
      <c r="I103" s="112"/>
      <c r="J103" s="113" t="s">
        <v>30</v>
      </c>
      <c r="K103" s="113" t="s">
        <v>29</v>
      </c>
      <c r="L103" s="113" t="s">
        <v>31</v>
      </c>
      <c r="M103" s="116" t="s">
        <v>32</v>
      </c>
      <c r="N103" s="112"/>
      <c r="O103" s="112"/>
      <c r="P103" s="117" t="s">
        <v>358</v>
      </c>
      <c r="Q103" s="112"/>
      <c r="R103" s="112"/>
      <c r="S103" s="112"/>
      <c r="T103" s="112"/>
      <c r="U103" s="112"/>
    </row>
    <row r="104" spans="1:21">
      <c r="A104" s="111" t="s">
        <v>63</v>
      </c>
      <c r="B104" s="113" t="s">
        <v>87</v>
      </c>
      <c r="C104" s="111" t="s">
        <v>359</v>
      </c>
      <c r="D104" s="113" t="s">
        <v>26</v>
      </c>
      <c r="E104" s="113" t="s">
        <v>39</v>
      </c>
      <c r="F104" s="171" t="s">
        <v>360</v>
      </c>
      <c r="G104" s="172"/>
      <c r="H104" s="171"/>
      <c r="I104" s="171"/>
      <c r="J104" s="113" t="s">
        <v>30</v>
      </c>
      <c r="K104" s="165" t="s">
        <v>29</v>
      </c>
      <c r="L104" s="165" t="s">
        <v>31</v>
      </c>
      <c r="M104" s="166" t="s">
        <v>32</v>
      </c>
      <c r="N104" s="171"/>
      <c r="O104" s="171"/>
      <c r="P104" s="172" t="s">
        <v>361</v>
      </c>
      <c r="Q104" s="171"/>
      <c r="R104" s="171"/>
      <c r="S104" s="171"/>
      <c r="T104" s="171"/>
      <c r="U104" s="171"/>
    </row>
    <row r="105" spans="1:21" ht="29.25">
      <c r="A105" s="111" t="s">
        <v>63</v>
      </c>
      <c r="B105" s="113" t="s">
        <v>24</v>
      </c>
      <c r="C105" s="111" t="s">
        <v>63</v>
      </c>
      <c r="D105" s="113" t="s">
        <v>26</v>
      </c>
      <c r="E105" s="113" t="s">
        <v>20</v>
      </c>
      <c r="F105" s="135" t="s">
        <v>362</v>
      </c>
      <c r="G105" s="164"/>
      <c r="H105" s="135"/>
      <c r="I105" s="135"/>
      <c r="J105" s="113" t="s">
        <v>30</v>
      </c>
      <c r="K105" s="165" t="s">
        <v>29</v>
      </c>
      <c r="L105" s="165" t="s">
        <v>31</v>
      </c>
      <c r="M105" s="166" t="s">
        <v>32</v>
      </c>
      <c r="N105" s="135"/>
      <c r="O105" s="135"/>
      <c r="P105" s="164" t="s">
        <v>363</v>
      </c>
      <c r="Q105" s="135"/>
      <c r="R105" s="135"/>
      <c r="S105" s="135"/>
      <c r="T105" s="135"/>
      <c r="U105" s="135"/>
    </row>
    <row r="106" spans="1:21">
      <c r="A106" s="111" t="s">
        <v>49</v>
      </c>
      <c r="B106" s="113" t="s">
        <v>87</v>
      </c>
      <c r="C106" s="111" t="s">
        <v>364</v>
      </c>
      <c r="D106" s="113" t="s">
        <v>26</v>
      </c>
      <c r="E106" s="113" t="s">
        <v>39</v>
      </c>
      <c r="F106" s="112" t="s">
        <v>365</v>
      </c>
      <c r="G106" s="117"/>
      <c r="H106" s="112"/>
      <c r="I106" s="112"/>
      <c r="J106" s="113" t="s">
        <v>30</v>
      </c>
      <c r="K106" s="165" t="s">
        <v>29</v>
      </c>
      <c r="L106" s="113" t="s">
        <v>31</v>
      </c>
      <c r="M106" s="116" t="s">
        <v>32</v>
      </c>
      <c r="N106" s="112"/>
      <c r="O106" s="112"/>
      <c r="P106" s="117" t="s">
        <v>366</v>
      </c>
      <c r="Q106" s="112"/>
      <c r="R106" s="112"/>
      <c r="S106" s="112"/>
      <c r="T106" s="112"/>
      <c r="U106" s="112"/>
    </row>
    <row r="107" spans="1:21">
      <c r="A107" s="136" t="s">
        <v>23</v>
      </c>
      <c r="B107" s="138" t="s">
        <v>87</v>
      </c>
      <c r="C107" s="136" t="s">
        <v>88</v>
      </c>
      <c r="D107" s="138" t="s">
        <v>26</v>
      </c>
      <c r="E107" s="138"/>
      <c r="F107" s="137" t="s">
        <v>367</v>
      </c>
      <c r="G107" s="139"/>
      <c r="H107" s="170"/>
      <c r="I107" s="137"/>
      <c r="J107" s="137"/>
      <c r="K107" s="137"/>
      <c r="L107" s="138" t="s">
        <v>31</v>
      </c>
      <c r="M107" s="141"/>
      <c r="N107" s="137"/>
      <c r="O107" s="137"/>
      <c r="P107" s="142" t="s">
        <v>368</v>
      </c>
      <c r="Q107" s="137"/>
      <c r="R107" s="137" t="s">
        <v>369</v>
      </c>
      <c r="S107" s="137"/>
      <c r="T107" s="137"/>
      <c r="U107" s="137"/>
    </row>
    <row r="108" spans="1:21">
      <c r="A108" s="136" t="s">
        <v>23</v>
      </c>
      <c r="B108" s="138" t="s">
        <v>24</v>
      </c>
      <c r="C108" s="136" t="s">
        <v>91</v>
      </c>
      <c r="D108" s="138" t="s">
        <v>26</v>
      </c>
      <c r="E108" s="138"/>
      <c r="F108" s="137" t="s">
        <v>370</v>
      </c>
      <c r="G108" s="139"/>
      <c r="H108" s="170"/>
      <c r="I108" s="137"/>
      <c r="J108" s="137"/>
      <c r="K108" s="137"/>
      <c r="L108" s="138" t="s">
        <v>31</v>
      </c>
      <c r="M108" s="141"/>
      <c r="N108" s="137"/>
      <c r="O108" s="137"/>
      <c r="P108" s="142" t="s">
        <v>371</v>
      </c>
      <c r="Q108" s="137"/>
      <c r="R108" s="137"/>
      <c r="S108" s="137"/>
      <c r="T108" s="137"/>
      <c r="U108" s="137"/>
    </row>
    <row r="109" spans="1:21">
      <c r="A109" s="111" t="s">
        <v>42</v>
      </c>
      <c r="B109" s="113" t="s">
        <v>24</v>
      </c>
      <c r="C109" s="111" t="s">
        <v>350</v>
      </c>
      <c r="D109" s="113" t="s">
        <v>26</v>
      </c>
      <c r="E109" s="113" t="s">
        <v>138</v>
      </c>
      <c r="F109" s="112" t="s">
        <v>372</v>
      </c>
      <c r="G109" s="117"/>
      <c r="H109" s="112"/>
      <c r="I109" s="112"/>
      <c r="J109" s="113" t="s">
        <v>30</v>
      </c>
      <c r="K109" s="165" t="s">
        <v>29</v>
      </c>
      <c r="L109" s="113" t="s">
        <v>31</v>
      </c>
      <c r="M109" s="116" t="s">
        <v>32</v>
      </c>
      <c r="N109" s="112"/>
      <c r="O109" s="112"/>
      <c r="P109" s="117" t="s">
        <v>373</v>
      </c>
      <c r="Q109" s="112"/>
      <c r="R109" s="112"/>
      <c r="S109" s="112"/>
      <c r="T109" s="112"/>
      <c r="U109" s="112"/>
    </row>
    <row r="110" spans="1:21">
      <c r="A110" s="111" t="s">
        <v>42</v>
      </c>
      <c r="B110" s="113" t="s">
        <v>87</v>
      </c>
      <c r="C110" s="111" t="s">
        <v>374</v>
      </c>
      <c r="D110" s="113" t="s">
        <v>26</v>
      </c>
      <c r="E110" s="113" t="s">
        <v>39</v>
      </c>
      <c r="F110" s="112" t="s">
        <v>375</v>
      </c>
      <c r="G110" s="117"/>
      <c r="H110" s="112"/>
      <c r="I110" s="112"/>
      <c r="J110" s="113" t="s">
        <v>30</v>
      </c>
      <c r="K110" s="165" t="s">
        <v>29</v>
      </c>
      <c r="L110" s="113" t="s">
        <v>31</v>
      </c>
      <c r="M110" s="116" t="s">
        <v>32</v>
      </c>
      <c r="N110" s="112"/>
      <c r="O110" s="112"/>
      <c r="P110" s="117" t="s">
        <v>376</v>
      </c>
      <c r="Q110" s="112"/>
      <c r="R110" s="112"/>
      <c r="S110" s="112"/>
      <c r="T110" s="112"/>
      <c r="U110" s="112"/>
    </row>
    <row r="111" spans="1:21">
      <c r="A111" s="111" t="s">
        <v>49</v>
      </c>
      <c r="B111" s="113" t="s">
        <v>24</v>
      </c>
      <c r="C111" s="111" t="s">
        <v>377</v>
      </c>
      <c r="D111" s="113" t="s">
        <v>26</v>
      </c>
      <c r="E111" s="113" t="s">
        <v>138</v>
      </c>
      <c r="F111" s="112" t="s">
        <v>378</v>
      </c>
      <c r="G111" s="117"/>
      <c r="H111" s="112"/>
      <c r="I111" s="112"/>
      <c r="J111" s="113" t="s">
        <v>30</v>
      </c>
      <c r="K111" s="165" t="s">
        <v>29</v>
      </c>
      <c r="L111" s="113" t="s">
        <v>31</v>
      </c>
      <c r="M111" s="116" t="s">
        <v>32</v>
      </c>
      <c r="N111" s="112"/>
      <c r="O111" s="112"/>
      <c r="P111" s="117" t="s">
        <v>379</v>
      </c>
      <c r="Q111" s="112"/>
      <c r="R111" s="112"/>
      <c r="S111" s="112"/>
      <c r="T111" s="112"/>
      <c r="U111" s="112"/>
    </row>
    <row r="112" spans="1:21">
      <c r="A112" s="111" t="s">
        <v>42</v>
      </c>
      <c r="B112" s="113" t="s">
        <v>24</v>
      </c>
      <c r="C112" s="111" t="s">
        <v>42</v>
      </c>
      <c r="D112" s="113" t="s">
        <v>26</v>
      </c>
      <c r="E112" s="113" t="s">
        <v>39</v>
      </c>
      <c r="F112" s="112" t="s">
        <v>380</v>
      </c>
      <c r="G112" s="117"/>
      <c r="H112" s="112"/>
      <c r="I112" s="112"/>
      <c r="J112" s="113" t="s">
        <v>30</v>
      </c>
      <c r="K112" s="165" t="s">
        <v>29</v>
      </c>
      <c r="L112" s="113" t="s">
        <v>31</v>
      </c>
      <c r="M112" s="116" t="s">
        <v>32</v>
      </c>
      <c r="N112" s="112"/>
      <c r="O112" s="112"/>
      <c r="P112" s="117" t="s">
        <v>381</v>
      </c>
      <c r="Q112" s="112"/>
      <c r="R112" s="112"/>
      <c r="S112" s="112"/>
      <c r="T112" s="112"/>
      <c r="U112" s="112"/>
    </row>
  </sheetData>
  <autoFilter ref="A1:U112" xr:uid="{FB01AFFE-D5A8-4B2B-8AAE-9EA9C01B8BBB}">
    <filterColumn colId="13" showButton="0"/>
  </autoFilter>
  <sortState xmlns:xlrd2="http://schemas.microsoft.com/office/spreadsheetml/2017/richdata2" ref="A5:U44">
    <sortCondition ref="S5:S44"/>
  </sortState>
  <mergeCells count="19">
    <mergeCell ref="M1:M2"/>
    <mergeCell ref="A1:A2"/>
    <mergeCell ref="B1:B2"/>
    <mergeCell ref="C1:C2"/>
    <mergeCell ref="D1:D2"/>
    <mergeCell ref="F1:F2"/>
    <mergeCell ref="G1:G2"/>
    <mergeCell ref="H1:H2"/>
    <mergeCell ref="I1:I2"/>
    <mergeCell ref="J1:J2"/>
    <mergeCell ref="K1:K2"/>
    <mergeCell ref="L1:L2"/>
    <mergeCell ref="N1:O1"/>
    <mergeCell ref="P1:P2"/>
    <mergeCell ref="Q1:Q2"/>
    <mergeCell ref="U1:U2"/>
    <mergeCell ref="T1:T2"/>
    <mergeCell ref="S1:S2"/>
    <mergeCell ref="R1:R2"/>
  </mergeCells>
  <conditionalFormatting sqref="B86:B90 B49 B51:B52 B58 B62 B67:B68 B7:B9 B21:B22 B25 B27:B29 B33 B70:B79 B82:B83 B35:B42 B11:B15">
    <cfRule type="uniqueValues" dxfId="0" priority="4"/>
  </conditionalFormatting>
  <pageMargins left="0.7" right="0.7" top="0.75" bottom="0.75" header="0.3" footer="0.3"/>
  <pageSetup paperSize="9" orientation="portrait" r:id="rId1"/>
  <headerFooter>
    <oddHeader>&amp;R&amp;"Times New Roman,Regular"&amp;12&amp;K000000 &amp;"Arial,Regular"&amp;10&amp;K000000[BH Telecom | &amp;B&amp;K000000Interno&amp;B&amp;K000000]</oddHeader>
    <evenHeader>&amp;R&amp;"Times New Roman,Regular"&amp;12&amp;K000000 &amp;"Arial,Regular"&amp;10&amp;K000000[BH Telecom | &amp;B&amp;K000000Interno&amp;B&amp;K000000]</evenHeader>
    <firstHeader>&amp;R&amp;"Times New Roman,Regular"&amp;12&amp;K000000 &amp;"Arial,Regular"&amp;10&amp;K000000[BH Telecom | &amp;B&amp;K000000Interno&amp;B&amp;K000000]</first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4026-D96F-485B-933D-7733C06DB85E}">
  <sheetPr>
    <pageSetUpPr autoPageBreaks="0"/>
  </sheetPr>
  <dimension ref="B1:K74"/>
  <sheetViews>
    <sheetView zoomScale="90" zoomScaleNormal="90" workbookViewId="0">
      <selection activeCell="D6" sqref="D6"/>
    </sheetView>
  </sheetViews>
  <sheetFormatPr defaultRowHeight="13.5"/>
  <cols>
    <col min="1" max="1" width="3" style="1" customWidth="1"/>
    <col min="2" max="2" width="7.28515625" style="1" customWidth="1"/>
    <col min="3" max="3" width="13.5703125" style="3" customWidth="1"/>
    <col min="4" max="4" width="39.5703125" style="6" customWidth="1"/>
    <col min="5" max="5" width="68.28515625" style="6" customWidth="1"/>
    <col min="6" max="6" width="18.5703125" style="3" customWidth="1"/>
    <col min="7" max="7" width="6.28515625" style="6" customWidth="1"/>
    <col min="8" max="8" width="16.85546875" style="3" customWidth="1"/>
    <col min="9" max="9" width="15.42578125" style="3" customWidth="1"/>
    <col min="10" max="10" width="96" style="6" customWidth="1"/>
    <col min="11" max="11" width="31.85546875" style="1" customWidth="1"/>
    <col min="12" max="16384" width="9.140625" style="1"/>
  </cols>
  <sheetData>
    <row r="1" spans="2:11" ht="54">
      <c r="B1" s="4" t="s">
        <v>382</v>
      </c>
      <c r="C1" s="4" t="s">
        <v>383</v>
      </c>
      <c r="D1" s="4" t="s">
        <v>384</v>
      </c>
      <c r="E1" s="4" t="s">
        <v>385</v>
      </c>
      <c r="F1" s="5" t="s">
        <v>386</v>
      </c>
      <c r="H1" s="7" t="s">
        <v>18</v>
      </c>
      <c r="I1" s="8" t="s">
        <v>19</v>
      </c>
      <c r="J1" s="7" t="s">
        <v>14</v>
      </c>
      <c r="K1" s="9"/>
    </row>
    <row r="2" spans="2:11" ht="40.5">
      <c r="B2" s="10">
        <v>1</v>
      </c>
      <c r="C2" s="10" t="s">
        <v>63</v>
      </c>
      <c r="D2" s="11" t="s">
        <v>387</v>
      </c>
      <c r="E2" s="12" t="s">
        <v>388</v>
      </c>
      <c r="F2" s="13">
        <v>1</v>
      </c>
      <c r="G2" s="14"/>
      <c r="H2" s="15" t="s">
        <v>29</v>
      </c>
      <c r="I2" s="16" t="s">
        <v>31</v>
      </c>
      <c r="J2" s="17" t="s">
        <v>389</v>
      </c>
    </row>
    <row r="3" spans="2:11" ht="40.5">
      <c r="B3" s="10">
        <f t="shared" ref="B3:B18" si="0">B2+1</f>
        <v>2</v>
      </c>
      <c r="C3" s="10" t="s">
        <v>63</v>
      </c>
      <c r="D3" s="18" t="s">
        <v>390</v>
      </c>
      <c r="E3" s="19" t="s">
        <v>330</v>
      </c>
      <c r="F3" s="20">
        <v>1</v>
      </c>
      <c r="G3" s="14"/>
      <c r="H3" s="15" t="s">
        <v>29</v>
      </c>
      <c r="I3" s="15" t="s">
        <v>29</v>
      </c>
      <c r="J3" s="17" t="s">
        <v>391</v>
      </c>
    </row>
    <row r="4" spans="2:11" ht="29.25" customHeight="1">
      <c r="B4" s="10">
        <f t="shared" si="0"/>
        <v>3</v>
      </c>
      <c r="C4" s="10" t="s">
        <v>49</v>
      </c>
      <c r="D4" s="21" t="s">
        <v>392</v>
      </c>
      <c r="E4" s="21" t="s">
        <v>333</v>
      </c>
      <c r="F4" s="13">
        <v>1</v>
      </c>
      <c r="G4" s="14"/>
      <c r="H4" s="15" t="s">
        <v>29</v>
      </c>
      <c r="I4" s="15" t="s">
        <v>29</v>
      </c>
      <c r="J4" s="22" t="s">
        <v>393</v>
      </c>
    </row>
    <row r="5" spans="2:11" ht="54">
      <c r="B5" s="10">
        <f t="shared" si="0"/>
        <v>4</v>
      </c>
      <c r="C5" s="10" t="s">
        <v>37</v>
      </c>
      <c r="D5" s="21" t="s">
        <v>394</v>
      </c>
      <c r="E5" s="21" t="s">
        <v>335</v>
      </c>
      <c r="F5" s="13">
        <v>1</v>
      </c>
      <c r="G5" s="14"/>
      <c r="H5" s="15" t="s">
        <v>29</v>
      </c>
      <c r="I5" s="15" t="s">
        <v>29</v>
      </c>
      <c r="J5" s="17" t="s">
        <v>395</v>
      </c>
    </row>
    <row r="6" spans="2:11" ht="40.5">
      <c r="B6" s="10">
        <f t="shared" si="0"/>
        <v>5</v>
      </c>
      <c r="C6" s="10" t="s">
        <v>37</v>
      </c>
      <c r="D6" s="21" t="s">
        <v>396</v>
      </c>
      <c r="E6" s="21" t="s">
        <v>339</v>
      </c>
      <c r="F6" s="13">
        <v>1</v>
      </c>
      <c r="G6" s="14"/>
      <c r="H6" s="15" t="s">
        <v>29</v>
      </c>
      <c r="I6" s="15" t="s">
        <v>29</v>
      </c>
      <c r="J6" s="17" t="s">
        <v>397</v>
      </c>
    </row>
    <row r="7" spans="2:11">
      <c r="B7" s="10">
        <f t="shared" si="0"/>
        <v>6</v>
      </c>
      <c r="C7" s="10" t="s">
        <v>23</v>
      </c>
      <c r="D7" s="21" t="s">
        <v>398</v>
      </c>
      <c r="E7" s="21" t="s">
        <v>343</v>
      </c>
      <c r="F7" s="20">
        <v>1</v>
      </c>
      <c r="G7" s="14"/>
      <c r="H7" s="15" t="s">
        <v>29</v>
      </c>
      <c r="I7" s="15" t="s">
        <v>29</v>
      </c>
      <c r="J7" s="22" t="s">
        <v>399</v>
      </c>
      <c r="K7" s="23"/>
    </row>
    <row r="8" spans="2:11">
      <c r="B8" s="24">
        <f>B7+1</f>
        <v>7</v>
      </c>
      <c r="C8" s="24" t="s">
        <v>23</v>
      </c>
      <c r="D8" s="25" t="s">
        <v>400</v>
      </c>
      <c r="E8" s="25" t="s">
        <v>401</v>
      </c>
      <c r="F8" s="26">
        <v>1</v>
      </c>
      <c r="G8" s="27"/>
      <c r="H8" s="2" t="s">
        <v>31</v>
      </c>
      <c r="I8" s="2" t="s">
        <v>33</v>
      </c>
      <c r="J8" s="28" t="s">
        <v>402</v>
      </c>
      <c r="K8" s="23"/>
    </row>
    <row r="9" spans="2:11">
      <c r="B9" s="10">
        <f t="shared" si="0"/>
        <v>8</v>
      </c>
      <c r="C9" s="10" t="s">
        <v>49</v>
      </c>
      <c r="D9" s="21" t="s">
        <v>403</v>
      </c>
      <c r="E9" s="21" t="s">
        <v>347</v>
      </c>
      <c r="F9" s="20">
        <v>1</v>
      </c>
      <c r="G9" s="14"/>
      <c r="H9" s="15" t="s">
        <v>29</v>
      </c>
      <c r="I9" s="15" t="s">
        <v>31</v>
      </c>
      <c r="J9" s="29" t="s">
        <v>404</v>
      </c>
    </row>
    <row r="10" spans="2:11" ht="54">
      <c r="B10" s="10">
        <f t="shared" si="0"/>
        <v>9</v>
      </c>
      <c r="C10" s="10" t="s">
        <v>42</v>
      </c>
      <c r="D10" s="21" t="s">
        <v>405</v>
      </c>
      <c r="E10" s="21" t="s">
        <v>349</v>
      </c>
      <c r="F10" s="13">
        <v>1</v>
      </c>
      <c r="G10" s="14"/>
      <c r="H10" s="15" t="s">
        <v>29</v>
      </c>
      <c r="I10" s="16" t="s">
        <v>406</v>
      </c>
      <c r="J10" s="30" t="s">
        <v>407</v>
      </c>
    </row>
    <row r="11" spans="2:11" ht="40.5">
      <c r="B11" s="10">
        <f t="shared" si="0"/>
        <v>10</v>
      </c>
      <c r="C11" s="10" t="s">
        <v>42</v>
      </c>
      <c r="D11" s="21" t="s">
        <v>408</v>
      </c>
      <c r="E11" s="21" t="s">
        <v>409</v>
      </c>
      <c r="F11" s="13">
        <v>1</v>
      </c>
      <c r="G11" s="14"/>
      <c r="H11" s="15" t="s">
        <v>29</v>
      </c>
      <c r="I11" s="15" t="s">
        <v>29</v>
      </c>
      <c r="J11" s="30" t="s">
        <v>410</v>
      </c>
    </row>
    <row r="12" spans="2:11" ht="27">
      <c r="B12" s="10">
        <f t="shared" si="0"/>
        <v>11</v>
      </c>
      <c r="C12" s="10" t="s">
        <v>42</v>
      </c>
      <c r="D12" s="21" t="s">
        <v>411</v>
      </c>
      <c r="E12" s="21" t="s">
        <v>355</v>
      </c>
      <c r="F12" s="13">
        <v>1</v>
      </c>
      <c r="G12" s="14"/>
      <c r="H12" s="31" t="s">
        <v>29</v>
      </c>
      <c r="I12" s="31"/>
      <c r="J12" s="32" t="s">
        <v>412</v>
      </c>
    </row>
    <row r="13" spans="2:11" ht="27">
      <c r="B13" s="10">
        <f t="shared" si="0"/>
        <v>12</v>
      </c>
      <c r="C13" s="10" t="s">
        <v>181</v>
      </c>
      <c r="D13" s="21" t="s">
        <v>413</v>
      </c>
      <c r="E13" s="33" t="s">
        <v>414</v>
      </c>
      <c r="F13" s="13">
        <v>1</v>
      </c>
      <c r="G13" s="14"/>
      <c r="H13" s="31" t="s">
        <v>29</v>
      </c>
      <c r="I13" s="31" t="s">
        <v>29</v>
      </c>
      <c r="J13" s="32" t="s">
        <v>415</v>
      </c>
    </row>
    <row r="14" spans="2:11" ht="27">
      <c r="B14" s="34">
        <f t="shared" si="0"/>
        <v>13</v>
      </c>
      <c r="C14" s="34" t="s">
        <v>63</v>
      </c>
      <c r="D14" s="35" t="s">
        <v>416</v>
      </c>
      <c r="E14" s="36" t="s">
        <v>417</v>
      </c>
      <c r="F14" s="37">
        <v>2</v>
      </c>
      <c r="G14" s="14"/>
      <c r="H14" s="38" t="s">
        <v>29</v>
      </c>
      <c r="I14" s="38" t="s">
        <v>29</v>
      </c>
      <c r="J14" s="39" t="s">
        <v>418</v>
      </c>
    </row>
    <row r="15" spans="2:11" ht="40.5">
      <c r="B15" s="34">
        <f t="shared" si="0"/>
        <v>14</v>
      </c>
      <c r="C15" s="34" t="s">
        <v>63</v>
      </c>
      <c r="D15" s="40" t="s">
        <v>419</v>
      </c>
      <c r="E15" s="41" t="s">
        <v>420</v>
      </c>
      <c r="F15" s="37">
        <v>2</v>
      </c>
      <c r="G15" s="14"/>
      <c r="H15" s="38" t="s">
        <v>29</v>
      </c>
      <c r="I15" s="38" t="s">
        <v>29</v>
      </c>
      <c r="J15" s="39" t="s">
        <v>418</v>
      </c>
    </row>
    <row r="16" spans="2:11">
      <c r="B16" s="34">
        <f t="shared" si="0"/>
        <v>15</v>
      </c>
      <c r="C16" s="34" t="s">
        <v>49</v>
      </c>
      <c r="D16" s="42" t="s">
        <v>421</v>
      </c>
      <c r="E16" s="42" t="s">
        <v>366</v>
      </c>
      <c r="F16" s="43">
        <v>2</v>
      </c>
      <c r="G16" s="14"/>
      <c r="H16" s="38" t="s">
        <v>29</v>
      </c>
      <c r="I16" s="38" t="s">
        <v>29</v>
      </c>
      <c r="J16" s="44" t="s">
        <v>422</v>
      </c>
    </row>
    <row r="17" spans="2:10">
      <c r="B17" s="24">
        <f t="shared" si="0"/>
        <v>16</v>
      </c>
      <c r="C17" s="24" t="s">
        <v>23</v>
      </c>
      <c r="D17" s="25" t="s">
        <v>423</v>
      </c>
      <c r="E17" s="25" t="s">
        <v>424</v>
      </c>
      <c r="F17" s="26">
        <v>2</v>
      </c>
      <c r="G17" s="45"/>
      <c r="H17" s="2" t="s">
        <v>425</v>
      </c>
      <c r="I17" s="2" t="s">
        <v>425</v>
      </c>
      <c r="J17" s="27" t="s">
        <v>426</v>
      </c>
    </row>
    <row r="18" spans="2:10" ht="54">
      <c r="B18" s="24">
        <f t="shared" si="0"/>
        <v>17</v>
      </c>
      <c r="C18" s="24" t="s">
        <v>23</v>
      </c>
      <c r="D18" s="25" t="s">
        <v>427</v>
      </c>
      <c r="E18" s="25" t="s">
        <v>428</v>
      </c>
      <c r="F18" s="26">
        <v>2</v>
      </c>
      <c r="G18" s="45"/>
      <c r="H18" s="46" t="s">
        <v>429</v>
      </c>
      <c r="I18" s="2" t="s">
        <v>430</v>
      </c>
      <c r="J18" s="47" t="s">
        <v>431</v>
      </c>
    </row>
    <row r="19" spans="2:10" ht="27">
      <c r="B19" s="48">
        <f>B18+1</f>
        <v>18</v>
      </c>
      <c r="C19" s="48" t="s">
        <v>42</v>
      </c>
      <c r="D19" s="49" t="s">
        <v>432</v>
      </c>
      <c r="E19" s="50" t="s">
        <v>373</v>
      </c>
      <c r="F19" s="43">
        <v>2</v>
      </c>
      <c r="H19" s="51"/>
      <c r="I19" s="51"/>
      <c r="J19" s="52" t="s">
        <v>433</v>
      </c>
    </row>
    <row r="20" spans="2:10" ht="67.5">
      <c r="B20" s="53">
        <f>B19+1</f>
        <v>19</v>
      </c>
      <c r="C20" s="53" t="s">
        <v>42</v>
      </c>
      <c r="D20" s="54" t="s">
        <v>434</v>
      </c>
      <c r="E20" s="54" t="s">
        <v>435</v>
      </c>
      <c r="F20" s="55">
        <v>3</v>
      </c>
      <c r="G20" s="14"/>
      <c r="H20" s="56" t="s">
        <v>29</v>
      </c>
      <c r="I20" s="57" t="s">
        <v>436</v>
      </c>
      <c r="J20" s="58" t="s">
        <v>437</v>
      </c>
    </row>
    <row r="21" spans="2:10" ht="27">
      <c r="B21" s="53">
        <f>B20+1</f>
        <v>20</v>
      </c>
      <c r="C21" s="53" t="s">
        <v>49</v>
      </c>
      <c r="D21" s="54" t="s">
        <v>438</v>
      </c>
      <c r="E21" s="54" t="s">
        <v>439</v>
      </c>
      <c r="F21" s="55">
        <v>3</v>
      </c>
      <c r="G21" s="14"/>
      <c r="H21" s="56" t="s">
        <v>29</v>
      </c>
      <c r="I21" s="57" t="s">
        <v>440</v>
      </c>
      <c r="J21" s="58" t="s">
        <v>441</v>
      </c>
    </row>
    <row r="22" spans="2:10" ht="27">
      <c r="B22" s="59">
        <f>B21+1</f>
        <v>21</v>
      </c>
      <c r="C22" s="59" t="s">
        <v>42</v>
      </c>
      <c r="D22" s="60" t="s">
        <v>442</v>
      </c>
      <c r="E22" s="61" t="s">
        <v>443</v>
      </c>
      <c r="F22" s="55">
        <v>3</v>
      </c>
      <c r="H22" s="62"/>
      <c r="I22" s="62"/>
      <c r="J22" s="63" t="s">
        <v>433</v>
      </c>
    </row>
    <row r="23" spans="2:10">
      <c r="B23" s="64"/>
      <c r="F23" s="64"/>
    </row>
    <row r="24" spans="2:10">
      <c r="B24" s="64"/>
      <c r="F24" s="64"/>
    </row>
    <row r="25" spans="2:10">
      <c r="B25" s="64"/>
      <c r="F25" s="64"/>
      <c r="G25" s="64"/>
    </row>
    <row r="26" spans="2:10" ht="67.5">
      <c r="B26" s="65" t="s">
        <v>382</v>
      </c>
      <c r="C26" s="65" t="s">
        <v>383</v>
      </c>
      <c r="D26" s="65" t="s">
        <v>444</v>
      </c>
      <c r="E26" s="65" t="s">
        <v>385</v>
      </c>
      <c r="F26" s="66" t="s">
        <v>386</v>
      </c>
      <c r="G26" s="64"/>
      <c r="H26" s="67" t="s">
        <v>445</v>
      </c>
      <c r="I26" s="67"/>
      <c r="J26" s="67" t="s">
        <v>14</v>
      </c>
    </row>
    <row r="27" spans="2:10">
      <c r="B27" s="68">
        <v>1</v>
      </c>
      <c r="C27" s="68" t="s">
        <v>181</v>
      </c>
      <c r="D27" s="69" t="s">
        <v>446</v>
      </c>
      <c r="E27" s="69" t="s">
        <v>366</v>
      </c>
      <c r="F27" s="68">
        <v>1</v>
      </c>
      <c r="G27" s="70"/>
      <c r="H27" s="71" t="s">
        <v>29</v>
      </c>
      <c r="I27" s="72"/>
      <c r="J27" s="73" t="s">
        <v>447</v>
      </c>
    </row>
    <row r="28" spans="2:10" ht="40.5">
      <c r="B28" s="68">
        <f>B27+1</f>
        <v>2</v>
      </c>
      <c r="C28" s="68" t="s">
        <v>37</v>
      </c>
      <c r="D28" s="74" t="s">
        <v>448</v>
      </c>
      <c r="E28" s="75" t="s">
        <v>366</v>
      </c>
      <c r="F28" s="68">
        <v>1</v>
      </c>
      <c r="G28" s="70"/>
      <c r="H28" s="72" t="s">
        <v>31</v>
      </c>
      <c r="I28" s="72"/>
      <c r="J28" s="76" t="s">
        <v>449</v>
      </c>
    </row>
    <row r="29" spans="2:10" ht="54">
      <c r="B29" s="68">
        <f t="shared" ref="B29:B74" si="1">B28+1</f>
        <v>3</v>
      </c>
      <c r="C29" s="68" t="s">
        <v>37</v>
      </c>
      <c r="D29" s="74" t="s">
        <v>450</v>
      </c>
      <c r="E29" s="74" t="s">
        <v>451</v>
      </c>
      <c r="F29" s="72">
        <v>1</v>
      </c>
      <c r="G29" s="70"/>
      <c r="H29" s="72" t="s">
        <v>452</v>
      </c>
      <c r="I29" s="72"/>
      <c r="J29" s="76" t="s">
        <v>453</v>
      </c>
    </row>
    <row r="30" spans="2:10" ht="30" customHeight="1">
      <c r="B30" s="77">
        <f t="shared" si="1"/>
        <v>4</v>
      </c>
      <c r="C30" s="68" t="s">
        <v>37</v>
      </c>
      <c r="D30" s="74" t="s">
        <v>454</v>
      </c>
      <c r="E30" s="74" t="s">
        <v>451</v>
      </c>
      <c r="F30" s="72">
        <v>1</v>
      </c>
      <c r="G30" s="70"/>
      <c r="H30" s="71" t="s">
        <v>29</v>
      </c>
      <c r="I30" s="72"/>
      <c r="J30" s="76" t="s">
        <v>455</v>
      </c>
    </row>
    <row r="31" spans="2:10" ht="30" customHeight="1">
      <c r="B31" s="77">
        <f>B30+1</f>
        <v>5</v>
      </c>
      <c r="C31" s="68" t="s">
        <v>42</v>
      </c>
      <c r="D31" s="74" t="s">
        <v>456</v>
      </c>
      <c r="E31" s="74" t="s">
        <v>457</v>
      </c>
      <c r="F31" s="72">
        <v>1</v>
      </c>
      <c r="G31" s="70"/>
      <c r="H31" s="71" t="s">
        <v>458</v>
      </c>
      <c r="I31" s="72"/>
      <c r="J31" s="76" t="s">
        <v>459</v>
      </c>
    </row>
    <row r="32" spans="2:10" ht="30" customHeight="1">
      <c r="B32" s="77">
        <f t="shared" si="1"/>
        <v>6</v>
      </c>
      <c r="C32" s="68" t="s">
        <v>42</v>
      </c>
      <c r="D32" s="74" t="s">
        <v>460</v>
      </c>
      <c r="E32" s="74" t="s">
        <v>461</v>
      </c>
      <c r="F32" s="72">
        <v>1</v>
      </c>
      <c r="G32" s="70"/>
      <c r="H32" s="71" t="s">
        <v>462</v>
      </c>
      <c r="I32" s="72"/>
      <c r="J32" s="76" t="s">
        <v>463</v>
      </c>
    </row>
    <row r="33" spans="2:11" ht="30" customHeight="1">
      <c r="B33" s="77">
        <v>7</v>
      </c>
      <c r="C33" s="68" t="s">
        <v>42</v>
      </c>
      <c r="D33" s="74" t="s">
        <v>464</v>
      </c>
      <c r="E33" s="74" t="s">
        <v>465</v>
      </c>
      <c r="F33" s="72">
        <v>1</v>
      </c>
      <c r="G33" s="70"/>
      <c r="H33" s="71" t="s">
        <v>462</v>
      </c>
      <c r="I33" s="72"/>
      <c r="J33" s="78" t="s">
        <v>466</v>
      </c>
    </row>
    <row r="34" spans="2:11" ht="30" customHeight="1">
      <c r="B34" s="77">
        <f t="shared" si="1"/>
        <v>8</v>
      </c>
      <c r="C34" s="68" t="s">
        <v>23</v>
      </c>
      <c r="D34" s="74" t="s">
        <v>467</v>
      </c>
      <c r="E34" s="74" t="s">
        <v>468</v>
      </c>
      <c r="F34" s="72">
        <v>1</v>
      </c>
      <c r="G34" s="14"/>
      <c r="H34" s="72" t="s">
        <v>469</v>
      </c>
      <c r="I34" s="72"/>
      <c r="J34" s="76" t="s">
        <v>470</v>
      </c>
    </row>
    <row r="35" spans="2:11" ht="30" customHeight="1">
      <c r="B35" s="77">
        <f t="shared" si="1"/>
        <v>9</v>
      </c>
      <c r="C35" s="68" t="s">
        <v>23</v>
      </c>
      <c r="D35" s="74" t="s">
        <v>471</v>
      </c>
      <c r="E35" s="74" t="s">
        <v>468</v>
      </c>
      <c r="F35" s="71">
        <v>1</v>
      </c>
      <c r="G35" s="14"/>
      <c r="H35" s="71" t="s">
        <v>472</v>
      </c>
      <c r="I35" s="72"/>
      <c r="J35" s="79" t="s">
        <v>473</v>
      </c>
    </row>
    <row r="36" spans="2:11">
      <c r="B36" s="68">
        <f t="shared" si="1"/>
        <v>10</v>
      </c>
      <c r="C36" s="68" t="s">
        <v>23</v>
      </c>
      <c r="D36" s="74" t="s">
        <v>474</v>
      </c>
      <c r="E36" s="74" t="s">
        <v>475</v>
      </c>
      <c r="F36" s="72">
        <v>1</v>
      </c>
      <c r="G36" s="14"/>
      <c r="H36" s="71"/>
      <c r="I36" s="72"/>
      <c r="J36" s="79"/>
      <c r="K36" s="1" t="s">
        <v>476</v>
      </c>
    </row>
    <row r="37" spans="2:11">
      <c r="B37" s="68">
        <f t="shared" si="1"/>
        <v>11</v>
      </c>
      <c r="C37" s="68" t="s">
        <v>202</v>
      </c>
      <c r="D37" s="74" t="s">
        <v>477</v>
      </c>
      <c r="E37" s="74" t="s">
        <v>478</v>
      </c>
      <c r="F37" s="72">
        <v>1</v>
      </c>
      <c r="G37" s="14"/>
      <c r="H37" s="72"/>
      <c r="I37" s="72"/>
      <c r="J37" s="73" t="s">
        <v>479</v>
      </c>
    </row>
    <row r="38" spans="2:11">
      <c r="B38" s="68">
        <f t="shared" si="1"/>
        <v>12</v>
      </c>
      <c r="C38" s="68" t="s">
        <v>202</v>
      </c>
      <c r="D38" s="74" t="s">
        <v>480</v>
      </c>
      <c r="E38" s="74" t="s">
        <v>481</v>
      </c>
      <c r="F38" s="72">
        <v>1</v>
      </c>
      <c r="G38" s="14"/>
      <c r="H38" s="72"/>
      <c r="I38" s="72"/>
      <c r="J38" s="73" t="s">
        <v>479</v>
      </c>
    </row>
    <row r="39" spans="2:11">
      <c r="B39" s="68">
        <f t="shared" si="1"/>
        <v>13</v>
      </c>
      <c r="C39" s="68" t="s">
        <v>202</v>
      </c>
      <c r="D39" s="74" t="s">
        <v>482</v>
      </c>
      <c r="E39" s="74" t="s">
        <v>483</v>
      </c>
      <c r="F39" s="72">
        <v>1</v>
      </c>
      <c r="G39" s="14"/>
      <c r="H39" s="72"/>
      <c r="I39" s="72"/>
      <c r="J39" s="73" t="s">
        <v>479</v>
      </c>
    </row>
    <row r="40" spans="2:11">
      <c r="B40" s="68">
        <f t="shared" si="1"/>
        <v>14</v>
      </c>
      <c r="C40" s="68" t="s">
        <v>202</v>
      </c>
      <c r="D40" s="74" t="s">
        <v>484</v>
      </c>
      <c r="E40" s="74" t="s">
        <v>485</v>
      </c>
      <c r="F40" s="72">
        <v>1</v>
      </c>
      <c r="G40" s="14"/>
      <c r="H40" s="72"/>
      <c r="I40" s="72"/>
      <c r="J40" s="73" t="s">
        <v>479</v>
      </c>
    </row>
    <row r="41" spans="2:11">
      <c r="B41" s="68">
        <f t="shared" si="1"/>
        <v>15</v>
      </c>
      <c r="C41" s="68" t="s">
        <v>202</v>
      </c>
      <c r="D41" s="74" t="s">
        <v>486</v>
      </c>
      <c r="E41" s="74" t="s">
        <v>487</v>
      </c>
      <c r="F41" s="72">
        <v>1</v>
      </c>
      <c r="G41" s="14"/>
      <c r="H41" s="72"/>
      <c r="I41" s="72"/>
      <c r="J41" s="73" t="s">
        <v>479</v>
      </c>
    </row>
    <row r="42" spans="2:11">
      <c r="B42" s="68">
        <f t="shared" si="1"/>
        <v>16</v>
      </c>
      <c r="C42" s="68" t="s">
        <v>202</v>
      </c>
      <c r="D42" s="74" t="s">
        <v>488</v>
      </c>
      <c r="E42" s="74" t="s">
        <v>489</v>
      </c>
      <c r="F42" s="72">
        <v>1</v>
      </c>
      <c r="G42" s="14"/>
      <c r="H42" s="72"/>
      <c r="I42" s="72"/>
      <c r="J42" s="73" t="s">
        <v>479</v>
      </c>
    </row>
    <row r="43" spans="2:11">
      <c r="B43" s="68">
        <f t="shared" si="1"/>
        <v>17</v>
      </c>
      <c r="C43" s="68" t="s">
        <v>202</v>
      </c>
      <c r="D43" s="74" t="s">
        <v>490</v>
      </c>
      <c r="E43" s="74" t="s">
        <v>491</v>
      </c>
      <c r="F43" s="72">
        <v>1</v>
      </c>
      <c r="G43" s="14"/>
      <c r="H43" s="72"/>
      <c r="I43" s="72"/>
      <c r="J43" s="73" t="s">
        <v>479</v>
      </c>
    </row>
    <row r="44" spans="2:11">
      <c r="B44" s="68">
        <f t="shared" si="1"/>
        <v>18</v>
      </c>
      <c r="C44" s="68" t="s">
        <v>49</v>
      </c>
      <c r="D44" s="74" t="s">
        <v>492</v>
      </c>
      <c r="E44" s="74" t="s">
        <v>493</v>
      </c>
      <c r="F44" s="72">
        <v>1</v>
      </c>
      <c r="G44" s="14"/>
      <c r="H44" s="72"/>
      <c r="I44" s="72"/>
      <c r="J44" s="73" t="s">
        <v>479</v>
      </c>
    </row>
    <row r="45" spans="2:11">
      <c r="B45" s="68">
        <f t="shared" si="1"/>
        <v>19</v>
      </c>
      <c r="C45" s="68" t="s">
        <v>49</v>
      </c>
      <c r="D45" s="74" t="s">
        <v>494</v>
      </c>
      <c r="E45" s="74" t="s">
        <v>495</v>
      </c>
      <c r="F45" s="72">
        <v>1</v>
      </c>
      <c r="G45" s="14"/>
      <c r="H45" s="72"/>
      <c r="I45" s="72"/>
      <c r="J45" s="73" t="s">
        <v>479</v>
      </c>
    </row>
    <row r="46" spans="2:11">
      <c r="B46" s="68">
        <f t="shared" si="1"/>
        <v>20</v>
      </c>
      <c r="C46" s="68" t="s">
        <v>49</v>
      </c>
      <c r="D46" s="74" t="s">
        <v>496</v>
      </c>
      <c r="E46" s="74" t="s">
        <v>497</v>
      </c>
      <c r="F46" s="72">
        <v>1</v>
      </c>
      <c r="G46" s="14"/>
      <c r="H46" s="72"/>
      <c r="I46" s="72"/>
      <c r="J46" s="73" t="s">
        <v>479</v>
      </c>
    </row>
    <row r="47" spans="2:11">
      <c r="B47" s="68">
        <f t="shared" si="1"/>
        <v>21</v>
      </c>
      <c r="C47" s="68" t="s">
        <v>49</v>
      </c>
      <c r="D47" s="74" t="s">
        <v>498</v>
      </c>
      <c r="E47" s="74" t="s">
        <v>499</v>
      </c>
      <c r="F47" s="72">
        <v>1</v>
      </c>
      <c r="G47" s="14"/>
      <c r="H47" s="72"/>
      <c r="I47" s="72"/>
      <c r="J47" s="73" t="s">
        <v>479</v>
      </c>
    </row>
    <row r="48" spans="2:11">
      <c r="B48" s="68">
        <f t="shared" si="1"/>
        <v>22</v>
      </c>
      <c r="C48" s="68" t="s">
        <v>49</v>
      </c>
      <c r="D48" s="74" t="s">
        <v>500</v>
      </c>
      <c r="E48" s="74" t="s">
        <v>501</v>
      </c>
      <c r="F48" s="72">
        <v>1</v>
      </c>
      <c r="G48" s="14"/>
      <c r="H48" s="72"/>
      <c r="I48" s="72"/>
      <c r="J48" s="73" t="s">
        <v>479</v>
      </c>
    </row>
    <row r="49" spans="2:10">
      <c r="B49" s="68">
        <f t="shared" si="1"/>
        <v>23</v>
      </c>
      <c r="C49" s="68" t="s">
        <v>49</v>
      </c>
      <c r="D49" s="74" t="s">
        <v>502</v>
      </c>
      <c r="E49" s="74" t="s">
        <v>503</v>
      </c>
      <c r="F49" s="72">
        <v>1</v>
      </c>
      <c r="G49" s="14"/>
      <c r="H49" s="72"/>
      <c r="I49" s="72"/>
      <c r="J49" s="73" t="s">
        <v>479</v>
      </c>
    </row>
    <row r="50" spans="2:10">
      <c r="B50" s="80">
        <f t="shared" si="1"/>
        <v>24</v>
      </c>
      <c r="C50" s="80" t="s">
        <v>181</v>
      </c>
      <c r="D50" s="81" t="s">
        <v>504</v>
      </c>
      <c r="E50" s="81" t="s">
        <v>505</v>
      </c>
      <c r="F50" s="80">
        <v>2</v>
      </c>
      <c r="G50" s="70"/>
      <c r="H50" s="82" t="s">
        <v>29</v>
      </c>
      <c r="I50" s="83"/>
      <c r="J50" s="84" t="s">
        <v>447</v>
      </c>
    </row>
    <row r="51" spans="2:10">
      <c r="B51" s="80">
        <f t="shared" si="1"/>
        <v>25</v>
      </c>
      <c r="C51" s="80" t="s">
        <v>181</v>
      </c>
      <c r="D51" s="81" t="s">
        <v>506</v>
      </c>
      <c r="E51" s="81" t="s">
        <v>505</v>
      </c>
      <c r="F51" s="80">
        <v>2</v>
      </c>
      <c r="G51" s="70"/>
      <c r="H51" s="82" t="s">
        <v>29</v>
      </c>
      <c r="I51" s="83"/>
      <c r="J51" s="84" t="s">
        <v>447</v>
      </c>
    </row>
    <row r="52" spans="2:10" ht="94.5">
      <c r="B52" s="80">
        <f t="shared" si="1"/>
        <v>26</v>
      </c>
      <c r="C52" s="80" t="s">
        <v>37</v>
      </c>
      <c r="D52" s="85" t="s">
        <v>507</v>
      </c>
      <c r="E52" s="86" t="s">
        <v>508</v>
      </c>
      <c r="F52" s="80">
        <v>2</v>
      </c>
      <c r="G52" s="70"/>
      <c r="H52" s="82" t="s">
        <v>509</v>
      </c>
      <c r="I52" s="83"/>
      <c r="J52" s="87" t="s">
        <v>510</v>
      </c>
    </row>
    <row r="53" spans="2:10" ht="94.5">
      <c r="B53" s="80">
        <f t="shared" si="1"/>
        <v>27</v>
      </c>
      <c r="C53" s="80" t="s">
        <v>37</v>
      </c>
      <c r="D53" s="85" t="s">
        <v>511</v>
      </c>
      <c r="E53" s="85" t="s">
        <v>512</v>
      </c>
      <c r="F53" s="83">
        <v>2</v>
      </c>
      <c r="G53" s="70"/>
      <c r="H53" s="82" t="s">
        <v>462</v>
      </c>
      <c r="I53" s="83"/>
      <c r="J53" s="87" t="s">
        <v>510</v>
      </c>
    </row>
    <row r="54" spans="2:10" ht="27">
      <c r="B54" s="80">
        <f t="shared" si="1"/>
        <v>28</v>
      </c>
      <c r="C54" s="80" t="s">
        <v>23</v>
      </c>
      <c r="D54" s="85" t="s">
        <v>513</v>
      </c>
      <c r="E54" s="85" t="s">
        <v>514</v>
      </c>
      <c r="F54" s="82">
        <v>2</v>
      </c>
      <c r="G54" s="14"/>
      <c r="H54" s="82" t="s">
        <v>458</v>
      </c>
      <c r="I54" s="83"/>
      <c r="J54" s="87" t="s">
        <v>515</v>
      </c>
    </row>
    <row r="55" spans="2:10" ht="27">
      <c r="B55" s="80">
        <f t="shared" si="1"/>
        <v>29</v>
      </c>
      <c r="C55" s="80" t="s">
        <v>23</v>
      </c>
      <c r="D55" s="85" t="s">
        <v>516</v>
      </c>
      <c r="E55" s="85" t="s">
        <v>517</v>
      </c>
      <c r="F55" s="83">
        <v>2</v>
      </c>
      <c r="G55" s="14"/>
      <c r="H55" s="82" t="s">
        <v>472</v>
      </c>
      <c r="I55" s="83"/>
      <c r="J55" s="88" t="s">
        <v>473</v>
      </c>
    </row>
    <row r="56" spans="2:10">
      <c r="B56" s="80">
        <f t="shared" si="1"/>
        <v>30</v>
      </c>
      <c r="C56" s="80" t="s">
        <v>202</v>
      </c>
      <c r="D56" s="85" t="s">
        <v>518</v>
      </c>
      <c r="E56" s="85" t="s">
        <v>519</v>
      </c>
      <c r="F56" s="83">
        <v>2</v>
      </c>
      <c r="G56" s="14"/>
      <c r="H56" s="83"/>
      <c r="I56" s="83"/>
      <c r="J56" s="84" t="s">
        <v>479</v>
      </c>
    </row>
    <row r="57" spans="2:10">
      <c r="B57" s="80">
        <f t="shared" si="1"/>
        <v>31</v>
      </c>
      <c r="C57" s="80" t="s">
        <v>202</v>
      </c>
      <c r="D57" s="85" t="s">
        <v>520</v>
      </c>
      <c r="E57" s="85" t="s">
        <v>521</v>
      </c>
      <c r="F57" s="83">
        <v>2</v>
      </c>
      <c r="G57" s="14"/>
      <c r="H57" s="83"/>
      <c r="I57" s="83"/>
      <c r="J57" s="84" t="s">
        <v>479</v>
      </c>
    </row>
    <row r="58" spans="2:10">
      <c r="B58" s="80">
        <f t="shared" si="1"/>
        <v>32</v>
      </c>
      <c r="C58" s="80" t="s">
        <v>202</v>
      </c>
      <c r="D58" s="85" t="s">
        <v>522</v>
      </c>
      <c r="E58" s="85" t="s">
        <v>519</v>
      </c>
      <c r="F58" s="83">
        <v>2</v>
      </c>
      <c r="G58" s="14"/>
      <c r="H58" s="83"/>
      <c r="I58" s="83"/>
      <c r="J58" s="84" t="s">
        <v>479</v>
      </c>
    </row>
    <row r="59" spans="2:10">
      <c r="B59" s="80">
        <f t="shared" si="1"/>
        <v>33</v>
      </c>
      <c r="C59" s="80" t="s">
        <v>49</v>
      </c>
      <c r="D59" s="85" t="s">
        <v>523</v>
      </c>
      <c r="E59" s="85" t="s">
        <v>524</v>
      </c>
      <c r="F59" s="83">
        <v>2</v>
      </c>
      <c r="G59" s="84"/>
      <c r="H59" s="83"/>
      <c r="I59" s="83"/>
      <c r="J59" s="84" t="s">
        <v>479</v>
      </c>
    </row>
    <row r="60" spans="2:10">
      <c r="B60" s="80">
        <f t="shared" si="1"/>
        <v>34</v>
      </c>
      <c r="C60" s="80" t="s">
        <v>49</v>
      </c>
      <c r="D60" s="85" t="s">
        <v>525</v>
      </c>
      <c r="E60" s="85" t="s">
        <v>526</v>
      </c>
      <c r="F60" s="83">
        <v>2</v>
      </c>
      <c r="G60" s="84"/>
      <c r="H60" s="83"/>
      <c r="I60" s="83"/>
      <c r="J60" s="84" t="s">
        <v>479</v>
      </c>
    </row>
    <row r="61" spans="2:10">
      <c r="B61" s="80">
        <f t="shared" si="1"/>
        <v>35</v>
      </c>
      <c r="C61" s="80" t="s">
        <v>49</v>
      </c>
      <c r="D61" s="85" t="s">
        <v>527</v>
      </c>
      <c r="E61" s="85" t="s">
        <v>528</v>
      </c>
      <c r="F61" s="83">
        <v>2</v>
      </c>
      <c r="G61" s="84"/>
      <c r="H61" s="83"/>
      <c r="I61" s="83"/>
      <c r="J61" s="84" t="s">
        <v>479</v>
      </c>
    </row>
    <row r="62" spans="2:10">
      <c r="B62" s="80">
        <f t="shared" si="1"/>
        <v>36</v>
      </c>
      <c r="C62" s="80" t="s">
        <v>49</v>
      </c>
      <c r="D62" s="85" t="s">
        <v>529</v>
      </c>
      <c r="E62" s="85" t="s">
        <v>530</v>
      </c>
      <c r="F62" s="83">
        <v>2</v>
      </c>
      <c r="G62" s="84"/>
      <c r="H62" s="83"/>
      <c r="I62" s="83"/>
      <c r="J62" s="84" t="s">
        <v>479</v>
      </c>
    </row>
    <row r="63" spans="2:10">
      <c r="B63" s="80">
        <f t="shared" si="1"/>
        <v>37</v>
      </c>
      <c r="C63" s="80" t="s">
        <v>49</v>
      </c>
      <c r="D63" s="85" t="s">
        <v>531</v>
      </c>
      <c r="E63" s="85" t="s">
        <v>499</v>
      </c>
      <c r="F63" s="83">
        <v>2</v>
      </c>
      <c r="G63" s="84"/>
      <c r="H63" s="83"/>
      <c r="I63" s="83"/>
      <c r="J63" s="84" t="s">
        <v>479</v>
      </c>
    </row>
    <row r="64" spans="2:10">
      <c r="B64" s="80">
        <f t="shared" si="1"/>
        <v>38</v>
      </c>
      <c r="C64" s="80" t="s">
        <v>49</v>
      </c>
      <c r="D64" s="85" t="s">
        <v>532</v>
      </c>
      <c r="E64" s="85" t="s">
        <v>505</v>
      </c>
      <c r="F64" s="83">
        <v>2</v>
      </c>
      <c r="G64" s="84"/>
      <c r="H64" s="83"/>
      <c r="I64" s="83"/>
      <c r="J64" s="84" t="s">
        <v>479</v>
      </c>
    </row>
    <row r="65" spans="2:10">
      <c r="B65" s="80">
        <f t="shared" si="1"/>
        <v>39</v>
      </c>
      <c r="C65" s="80" t="s">
        <v>49</v>
      </c>
      <c r="D65" s="85" t="s">
        <v>533</v>
      </c>
      <c r="E65" s="85" t="s">
        <v>505</v>
      </c>
      <c r="F65" s="83">
        <v>2</v>
      </c>
      <c r="G65" s="84"/>
      <c r="H65" s="83"/>
      <c r="I65" s="83"/>
      <c r="J65" s="84" t="s">
        <v>479</v>
      </c>
    </row>
    <row r="66" spans="2:10">
      <c r="B66" s="80">
        <f t="shared" si="1"/>
        <v>40</v>
      </c>
      <c r="C66" s="80" t="s">
        <v>49</v>
      </c>
      <c r="D66" s="85" t="s">
        <v>534</v>
      </c>
      <c r="E66" s="85" t="s">
        <v>508</v>
      </c>
      <c r="F66" s="83">
        <v>2</v>
      </c>
      <c r="G66" s="84"/>
      <c r="H66" s="83"/>
      <c r="I66" s="83"/>
      <c r="J66" s="84" t="s">
        <v>479</v>
      </c>
    </row>
    <row r="67" spans="2:10">
      <c r="B67" s="80">
        <f t="shared" si="1"/>
        <v>41</v>
      </c>
      <c r="C67" s="80" t="s">
        <v>49</v>
      </c>
      <c r="D67" s="85" t="s">
        <v>535</v>
      </c>
      <c r="E67" s="85" t="s">
        <v>536</v>
      </c>
      <c r="F67" s="83">
        <v>2</v>
      </c>
      <c r="G67" s="84"/>
      <c r="H67" s="83"/>
      <c r="I67" s="83"/>
      <c r="J67" s="84" t="s">
        <v>479</v>
      </c>
    </row>
    <row r="68" spans="2:10">
      <c r="B68" s="80">
        <f t="shared" si="1"/>
        <v>42</v>
      </c>
      <c r="C68" s="80" t="s">
        <v>49</v>
      </c>
      <c r="D68" s="85" t="s">
        <v>537</v>
      </c>
      <c r="E68" s="85" t="s">
        <v>538</v>
      </c>
      <c r="F68" s="83">
        <v>2</v>
      </c>
      <c r="G68" s="84"/>
      <c r="H68" s="83"/>
      <c r="I68" s="83"/>
      <c r="J68" s="84" t="s">
        <v>479</v>
      </c>
    </row>
    <row r="69" spans="2:10" ht="27">
      <c r="B69" s="89">
        <f t="shared" si="1"/>
        <v>43</v>
      </c>
      <c r="C69" s="89" t="s">
        <v>63</v>
      </c>
      <c r="D69" s="90" t="s">
        <v>539</v>
      </c>
      <c r="E69" s="90" t="s">
        <v>540</v>
      </c>
      <c r="F69" s="91"/>
      <c r="G69" s="92"/>
      <c r="H69" s="93" t="s">
        <v>452</v>
      </c>
      <c r="I69" s="93"/>
      <c r="J69" s="94" t="s">
        <v>541</v>
      </c>
    </row>
    <row r="70" spans="2:10" ht="27">
      <c r="B70" s="89">
        <f t="shared" si="1"/>
        <v>44</v>
      </c>
      <c r="C70" s="95" t="s">
        <v>63</v>
      </c>
      <c r="D70" s="96" t="s">
        <v>542</v>
      </c>
      <c r="E70" s="97" t="s">
        <v>543</v>
      </c>
      <c r="F70" s="91"/>
      <c r="G70" s="92"/>
      <c r="H70" s="98" t="s">
        <v>452</v>
      </c>
      <c r="I70" s="98"/>
      <c r="J70" s="99" t="s">
        <v>544</v>
      </c>
    </row>
    <row r="71" spans="2:10" ht="27">
      <c r="B71" s="89">
        <f t="shared" si="1"/>
        <v>45</v>
      </c>
      <c r="C71" s="95" t="s">
        <v>63</v>
      </c>
      <c r="D71" s="96" t="s">
        <v>545</v>
      </c>
      <c r="E71" s="97" t="s">
        <v>546</v>
      </c>
      <c r="F71" s="91"/>
      <c r="G71" s="92"/>
      <c r="H71" s="98" t="s">
        <v>452</v>
      </c>
      <c r="I71" s="98"/>
      <c r="J71" s="99" t="s">
        <v>547</v>
      </c>
    </row>
    <row r="72" spans="2:10" ht="27">
      <c r="B72" s="89">
        <f t="shared" si="1"/>
        <v>46</v>
      </c>
      <c r="C72" s="95" t="s">
        <v>63</v>
      </c>
      <c r="D72" s="96" t="s">
        <v>548</v>
      </c>
      <c r="E72" s="100" t="s">
        <v>549</v>
      </c>
      <c r="F72" s="91"/>
      <c r="G72" s="92"/>
      <c r="H72" s="98" t="s">
        <v>452</v>
      </c>
      <c r="I72" s="98"/>
      <c r="J72" s="99" t="s">
        <v>550</v>
      </c>
    </row>
    <row r="73" spans="2:10" ht="27">
      <c r="B73" s="89">
        <f t="shared" si="1"/>
        <v>47</v>
      </c>
      <c r="C73" s="95" t="s">
        <v>63</v>
      </c>
      <c r="D73" s="96" t="s">
        <v>551</v>
      </c>
      <c r="E73" s="100" t="s">
        <v>552</v>
      </c>
      <c r="F73" s="91"/>
      <c r="G73" s="92"/>
      <c r="H73" s="98" t="s">
        <v>452</v>
      </c>
      <c r="I73" s="98"/>
      <c r="J73" s="99" t="s">
        <v>553</v>
      </c>
    </row>
    <row r="74" spans="2:10" ht="27">
      <c r="B74" s="89">
        <f t="shared" si="1"/>
        <v>48</v>
      </c>
      <c r="C74" s="95" t="s">
        <v>63</v>
      </c>
      <c r="D74" s="96" t="s">
        <v>554</v>
      </c>
      <c r="E74" s="100" t="s">
        <v>555</v>
      </c>
      <c r="F74" s="91"/>
      <c r="G74" s="92"/>
      <c r="H74" s="98" t="s">
        <v>452</v>
      </c>
      <c r="I74" s="98"/>
      <c r="J74" s="99" t="s">
        <v>556</v>
      </c>
    </row>
  </sheetData>
  <pageMargins left="0.7" right="0.7" top="0.75" bottom="0.75" header="0.3" footer="0.3"/>
  <pageSetup orientation="portrait" horizontalDpi="4294967294" r:id="rId1"/>
  <headerFooter>
    <oddHeader>&amp;R&amp;"Times New Roman,Regular"&amp;12&amp;K000000 &amp;"Arial,Regular"&amp;10&amp;K000000[BH Telecom | &amp;B&amp;K000000Interno&amp;B&amp;K000000]</oddHeader>
    <evenHeader>&amp;R&amp;"Times New Roman,Regular"&amp;12&amp;K000000 &amp;"Arial,Regular"&amp;10&amp;K000000[BH Telecom | &amp;B&amp;K000000Interno&amp;B&amp;K000000]</evenHeader>
    <firstHeader>&amp;R&amp;"Times New Roman,Regular"&amp;12&amp;K000000 &amp;"Arial,Regular"&amp;10&amp;K000000[BH Telecom | &amp;B&amp;K000000Interno&amp;B&amp;K000000]</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I1ZjkxYmZiMi1hOWMxLTQ1ZDAtODUxNy0wOGIxZjMxNmViMTUiIG9yaWdpbj0idXNlclNlbGVjdGVkIj48ZWxlbWVudCB1aWQ9ImlkX2NsYXNzaWZpY2F0aW9uX2dlbmVyYWxidXNpbmVzcyIgdmFsdWU9IiIgeG1sbnM9Imh0dHA6Ly93d3cuYm9sZG9uamFtZXMuY29tLzIwMDgvMDEvc2llL2ludGVybmFsL2xhYmVsIiAvPjwvc2lzbD48VXNlck5hbWU+VEVMRUNPTVx6bGF0a29hPC9Vc2VyTmFtZT48RGF0ZVRpbWU+MS4gNy4gMjAyNC4gMTM6MDk6MTU8L0RhdGVUaW1lPjxMYWJlbFN0cmluZz5JbnRlcm5vPC9MYWJlbFN0cmluZz48L2l0ZW0+PC9sYWJlbEhpc3Rvcnk+</Value>
</WrappedLabelHistory>
</file>

<file path=customXml/item2.xml><?xml version="1.0" encoding="utf-8"?>
<p:properties xmlns:p="http://schemas.microsoft.com/office/2006/metadata/properties" xmlns:xsi="http://www.w3.org/2001/XMLSchema-instance" xmlns:pc="http://schemas.microsoft.com/office/infopath/2007/PartnerControls">
  <documentManagement>
    <_activity xmlns="55003cb3-f2a5-49e1-9bb4-4e5d51aeea6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52144FD315EFA458EC2777B73ABEBD1" ma:contentTypeVersion="18" ma:contentTypeDescription="Create a new document." ma:contentTypeScope="" ma:versionID="2681348beec0ef39d0644ce02a61e1d8">
  <xsd:schema xmlns:xsd="http://www.w3.org/2001/XMLSchema" xmlns:xs="http://www.w3.org/2001/XMLSchema" xmlns:p="http://schemas.microsoft.com/office/2006/metadata/properties" xmlns:ns3="55003cb3-f2a5-49e1-9bb4-4e5d51aeea69" xmlns:ns4="e3169b9f-b7d0-4895-9e67-5f5ab5073a93" targetNamespace="http://schemas.microsoft.com/office/2006/metadata/properties" ma:root="true" ma:fieldsID="cd809955ddcad5be14a03e0d560aa872" ns3:_="" ns4:_="">
    <xsd:import namespace="55003cb3-f2a5-49e1-9bb4-4e5d51aeea69"/>
    <xsd:import namespace="e3169b9f-b7d0-4895-9e67-5f5ab5073a93"/>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_activity" minOccurs="0"/>
                <xsd:element ref="ns3:MediaServiceObjectDetectorVersions" minOccurs="0"/>
                <xsd:element ref="ns3:MediaServiceSystemTag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003cb3-f2a5-49e1-9bb4-4e5d51aeea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descrip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3169b9f-b7d0-4895-9e67-5f5ab5073a9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5f91bfb2-a9c1-45d0-8517-08b1f316eb15" origin="userSelected">
  <element uid="id_classification_generalbusiness" value=""/>
</sisl>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836515-9CDF-467D-9158-C7A633FB016E}"/>
</file>

<file path=customXml/itemProps2.xml><?xml version="1.0" encoding="utf-8"?>
<ds:datastoreItem xmlns:ds="http://schemas.openxmlformats.org/officeDocument/2006/customXml" ds:itemID="{1197E20D-5A12-4792-9343-87D219398BC4}"/>
</file>

<file path=customXml/itemProps3.xml><?xml version="1.0" encoding="utf-8"?>
<ds:datastoreItem xmlns:ds="http://schemas.openxmlformats.org/officeDocument/2006/customXml" ds:itemID="{A5948662-CC27-4715-99AF-F975E4256AAD}"/>
</file>

<file path=customXml/itemProps4.xml><?xml version="1.0" encoding="utf-8"?>
<ds:datastoreItem xmlns:ds="http://schemas.openxmlformats.org/officeDocument/2006/customXml" ds:itemID="{82196C10-AC7F-4D9D-83CA-67573107E4A6}"/>
</file>

<file path=customXml/itemProps5.xml><?xml version="1.0" encoding="utf-8"?>
<ds:datastoreItem xmlns:ds="http://schemas.openxmlformats.org/officeDocument/2006/customXml" ds:itemID="{6309AF14-DFCC-489E-AB49-4BF7B6EB84A6}"/>
</file>

<file path=docProps/app.xml><?xml version="1.0" encoding="utf-8"?>
<Properties xmlns="http://schemas.openxmlformats.org/officeDocument/2006/extended-properties" xmlns:vt="http://schemas.openxmlformats.org/officeDocument/2006/docPropsVTypes">
  <Application>Microsoft Excel Online</Application>
  <Manager/>
  <Company>BH Telecom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Zlatko Ažman</dc:creator>
  <cp:keywords> [BH Telecom | Interno]</cp:keywords>
  <dc:description/>
  <cp:lastModifiedBy>Rusmir Skopljak</cp:lastModifiedBy>
  <cp:revision/>
  <dcterms:created xsi:type="dcterms:W3CDTF">2024-07-01T13:07:57Z</dcterms:created>
  <dcterms:modified xsi:type="dcterms:W3CDTF">2026-03-13T16:28:05Z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d51a04e6-1776-496d-bbbb-fd25d914754c</vt:lpwstr>
  </property>
  <property fmtid="{D5CDD505-2E9C-101B-9397-08002B2CF9AE}" pid="3" name="bjSaver">
    <vt:lpwstr>rtNiGcsanslCe2XQWo/81tnaKCgB0n+P</vt:lpwstr>
  </property>
  <property fmtid="{D5CDD505-2E9C-101B-9397-08002B2CF9AE}" pid="4" name="bjDocumentSecurityLabel">
    <vt:lpwstr>Interno</vt:lpwstr>
  </property>
  <property fmtid="{D5CDD505-2E9C-101B-9397-08002B2CF9AE}" pid="5" name="bjClsUserRVM">
    <vt:lpwstr>[]</vt:lpwstr>
  </property>
  <property fmtid="{D5CDD505-2E9C-101B-9397-08002B2CF9AE}" pid="6" name="bjLabelHistoryID">
    <vt:lpwstr>{BE836515-9CDF-467D-9158-C7A633FB016E}</vt:lpwstr>
  </property>
  <property fmtid="{D5CDD505-2E9C-101B-9397-08002B2CF9AE}" pid="7" name="bjRightHeaderLabel-first">
    <vt:lpwstr>&amp;"Times New Roman,Regular"&amp;12&amp;K000000 &amp;"Arial,Regular"&amp;10&amp;K000000[BH Telecom | &amp;B&amp;K000000Interno&amp;B&amp;K000000]</vt:lpwstr>
  </property>
  <property fmtid="{D5CDD505-2E9C-101B-9397-08002B2CF9AE}" pid="8" name="bjRightHeaderLabel-even">
    <vt:lpwstr>&amp;"Times New Roman,Regular"&amp;12&amp;K000000 &amp;"Arial,Regular"&amp;10&amp;K000000[BH Telecom | &amp;B&amp;K000000Interno&amp;B&amp;K000000]</vt:lpwstr>
  </property>
  <property fmtid="{D5CDD505-2E9C-101B-9397-08002B2CF9AE}" pid="9" name="bjRightHeaderLabel">
    <vt:lpwstr>&amp;"Times New Roman,Regular"&amp;12&amp;K000000 &amp;"Arial,Regular"&amp;10&amp;K000000[BH Telecom | &amp;B&amp;K000000Interno&amp;B&amp;K000000]</vt:lpwstr>
  </property>
  <property fmtid="{D5CDD505-2E9C-101B-9397-08002B2CF9AE}" pid="10" name="ContentTypeId">
    <vt:lpwstr>0x010100452144FD315EFA458EC2777B73ABEBD1</vt:lpwstr>
  </property>
  <property fmtid="{D5CDD505-2E9C-101B-9397-08002B2CF9AE}" pid="11" name="MediaServiceImageTags">
    <vt:lpwstr/>
  </property>
  <property fmtid="{D5CDD505-2E9C-101B-9397-08002B2CF9AE}" pid="12" name="bjDocumentLabelXML">
    <vt:lpwstr>&lt;?xml version="1.0" encoding="us-ascii"?&gt;&lt;sisl xmlns:xsi="http://www.w3.org/2001/XMLSchema-instance" xmlns:xsd="http://www.w3.org/2001/XMLSchema" sislVersion="0" policy="5f91bfb2-a9c1-45d0-8517-08b1f316eb15" origin="userSelected" xmlns="http://www.boldonj</vt:lpwstr>
  </property>
  <property fmtid="{D5CDD505-2E9C-101B-9397-08002B2CF9AE}" pid="13" name="bjDocumentLabelXML-0">
    <vt:lpwstr>ames.com/2008/01/sie/internal/label"&gt;&lt;element uid="id_classification_generalbusiness" value="" /&gt;&lt;/sisl&gt;</vt:lpwstr>
  </property>
</Properties>
</file>